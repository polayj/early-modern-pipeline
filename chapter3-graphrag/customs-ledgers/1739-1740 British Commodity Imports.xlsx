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60" documentId="8_{2C8E1D9C-B47D-41E9-9490-3B39A0E01E7C}" xr6:coauthVersionLast="47" xr6:coauthVersionMax="47" xr10:uidLastSave="{3F21A767-978D-4803-BE5F-C78F4BC2858D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Barbados!$A$1:$N$56</definedName>
    <definedName name="_xlnm._FilterDatabase" localSheetId="5" hidden="1">Jamaica!$A$1:$O$61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8" l="1"/>
  <c r="H20" i="8"/>
  <c r="H53" i="7"/>
  <c r="H52" i="6"/>
  <c r="H19" i="6"/>
  <c r="H83" i="5"/>
  <c r="H22" i="5"/>
  <c r="H68" i="3"/>
  <c r="H19" i="3"/>
  <c r="H40" i="2"/>
  <c r="H10" i="2"/>
  <c r="J83" i="5"/>
  <c r="L83" i="5" s="1"/>
  <c r="J68" i="3"/>
  <c r="L68" i="3" s="1"/>
  <c r="J19" i="3"/>
  <c r="L19" i="3" s="1"/>
  <c r="L72" i="8"/>
  <c r="J72" i="8"/>
  <c r="L61" i="8"/>
  <c r="L62" i="8"/>
  <c r="L63" i="8"/>
  <c r="L64" i="8"/>
  <c r="L68" i="8"/>
  <c r="L69" i="8"/>
  <c r="L70" i="8"/>
  <c r="J58" i="8"/>
  <c r="L58" i="8" s="1"/>
  <c r="J59" i="8"/>
  <c r="L59" i="8" s="1"/>
  <c r="J60" i="8"/>
  <c r="L60" i="8" s="1"/>
  <c r="J61" i="8"/>
  <c r="J62" i="8"/>
  <c r="J63" i="8"/>
  <c r="J64" i="8"/>
  <c r="J65" i="8"/>
  <c r="L65" i="8" s="1"/>
  <c r="J66" i="8"/>
  <c r="L66" i="8" s="1"/>
  <c r="J67" i="8"/>
  <c r="L67" i="8" s="1"/>
  <c r="J68" i="8"/>
  <c r="J69" i="8"/>
  <c r="J70" i="8"/>
  <c r="J71" i="8"/>
  <c r="L71" i="8" s="1"/>
  <c r="J73" i="8"/>
  <c r="L73" i="8" s="1"/>
  <c r="L66" i="7"/>
  <c r="L67" i="7"/>
  <c r="L68" i="7"/>
  <c r="J66" i="7"/>
  <c r="J67" i="7"/>
  <c r="J68" i="7"/>
  <c r="J60" i="6"/>
  <c r="L60" i="6" s="1"/>
  <c r="J61" i="6"/>
  <c r="L77" i="5"/>
  <c r="L78" i="5"/>
  <c r="L79" i="5"/>
  <c r="L80" i="5"/>
  <c r="L81" i="5"/>
  <c r="L82" i="5"/>
  <c r="L84" i="5"/>
  <c r="L85" i="5"/>
  <c r="L86" i="5"/>
  <c r="L87" i="5"/>
  <c r="L88" i="5"/>
  <c r="L89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5" i="5"/>
  <c r="L106" i="5"/>
  <c r="L108" i="5"/>
  <c r="L109" i="5"/>
  <c r="L111" i="5"/>
  <c r="L112" i="5"/>
  <c r="L114" i="5"/>
  <c r="L115" i="5"/>
  <c r="L116" i="5"/>
  <c r="L119" i="5"/>
  <c r="L124" i="5"/>
  <c r="J77" i="5"/>
  <c r="J78" i="5"/>
  <c r="J79" i="5"/>
  <c r="J80" i="5"/>
  <c r="J81" i="5"/>
  <c r="J82" i="5"/>
  <c r="J84" i="5"/>
  <c r="J85" i="5"/>
  <c r="J86" i="5"/>
  <c r="J87" i="5"/>
  <c r="J88" i="5"/>
  <c r="J89" i="5"/>
  <c r="J90" i="5"/>
  <c r="L90" i="5" s="1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L104" i="5" s="1"/>
  <c r="J105" i="5"/>
  <c r="J106" i="5"/>
  <c r="J107" i="5"/>
  <c r="L107" i="5" s="1"/>
  <c r="J108" i="5"/>
  <c r="J109" i="5"/>
  <c r="J110" i="5"/>
  <c r="L110" i="5" s="1"/>
  <c r="J111" i="5"/>
  <c r="J112" i="5"/>
  <c r="J113" i="5"/>
  <c r="L113" i="5" s="1"/>
  <c r="J114" i="5"/>
  <c r="J115" i="5"/>
  <c r="J116" i="5"/>
  <c r="J117" i="5"/>
  <c r="L117" i="5" s="1"/>
  <c r="J118" i="5"/>
  <c r="L118" i="5" s="1"/>
  <c r="J119" i="5"/>
  <c r="J120" i="5"/>
  <c r="L120" i="5" s="1"/>
  <c r="J121" i="5"/>
  <c r="L121" i="5" s="1"/>
  <c r="J122" i="5"/>
  <c r="L122" i="5" s="1"/>
  <c r="J123" i="5"/>
  <c r="L123" i="5" s="1"/>
  <c r="J124" i="5"/>
  <c r="L84" i="3"/>
  <c r="J84" i="3"/>
  <c r="J67" i="3"/>
  <c r="L67" i="3" s="1"/>
  <c r="L53" i="2"/>
  <c r="L54" i="2"/>
  <c r="L55" i="2"/>
  <c r="L56" i="2"/>
  <c r="L57" i="2"/>
  <c r="L58" i="2"/>
  <c r="L59" i="2"/>
  <c r="L60" i="2"/>
  <c r="L61" i="2"/>
  <c r="L62" i="2"/>
  <c r="L63" i="2"/>
  <c r="L64" i="2"/>
  <c r="J54" i="2"/>
  <c r="J55" i="2"/>
  <c r="J56" i="2"/>
  <c r="J57" i="2"/>
  <c r="J58" i="2"/>
  <c r="J59" i="2"/>
  <c r="J60" i="2"/>
  <c r="J61" i="2"/>
  <c r="J62" i="2"/>
  <c r="J63" i="2"/>
  <c r="J64" i="2"/>
  <c r="L29" i="2"/>
  <c r="L30" i="2"/>
  <c r="L31" i="2"/>
  <c r="L32" i="2"/>
  <c r="L33" i="2"/>
  <c r="L34" i="2"/>
  <c r="L37" i="2"/>
  <c r="L38" i="2"/>
  <c r="L39" i="2"/>
  <c r="L41" i="2"/>
  <c r="L42" i="2"/>
  <c r="L43" i="2"/>
  <c r="L44" i="2"/>
  <c r="L45" i="2"/>
  <c r="L46" i="2"/>
  <c r="L47" i="2"/>
  <c r="L49" i="2"/>
  <c r="L51" i="2"/>
  <c r="J30" i="2"/>
  <c r="J31" i="2"/>
  <c r="J32" i="2"/>
  <c r="J33" i="2"/>
  <c r="J34" i="2"/>
  <c r="J35" i="2"/>
  <c r="L35" i="2" s="1"/>
  <c r="J36" i="2"/>
  <c r="L36" i="2" s="1"/>
  <c r="J37" i="2"/>
  <c r="J38" i="2"/>
  <c r="J39" i="2"/>
  <c r="J40" i="2"/>
  <c r="L40" i="2" s="1"/>
  <c r="J41" i="2"/>
  <c r="J42" i="2"/>
  <c r="J43" i="2"/>
  <c r="J44" i="2"/>
  <c r="J45" i="2"/>
  <c r="J46" i="2"/>
  <c r="J47" i="2"/>
  <c r="J48" i="2"/>
  <c r="L48" i="2" s="1"/>
  <c r="J49" i="2"/>
  <c r="J50" i="2"/>
  <c r="L50" i="2" s="1"/>
  <c r="J51" i="2"/>
  <c r="J52" i="2"/>
  <c r="L52" i="2" s="1"/>
  <c r="J53" i="2"/>
  <c r="J17" i="8"/>
  <c r="L17" i="8" s="1"/>
  <c r="L55" i="5"/>
  <c r="J55" i="5"/>
  <c r="J41" i="5"/>
  <c r="L41" i="5" s="1"/>
  <c r="J42" i="5"/>
  <c r="J9" i="5"/>
  <c r="L9" i="5" s="1"/>
  <c r="L2" i="4"/>
  <c r="L3" i="4"/>
  <c r="J2" i="4"/>
  <c r="J34" i="3"/>
  <c r="L34" i="3" s="1"/>
  <c r="J35" i="3"/>
  <c r="L35" i="3" s="1"/>
  <c r="J36" i="3"/>
  <c r="L36" i="3" s="1"/>
  <c r="J17" i="3"/>
  <c r="J18" i="3"/>
  <c r="L18" i="3" s="1"/>
  <c r="J20" i="3"/>
  <c r="L20" i="3" s="1"/>
  <c r="J21" i="3"/>
  <c r="L21" i="3" s="1"/>
  <c r="J22" i="3"/>
  <c r="L17" i="3"/>
  <c r="L50" i="3"/>
  <c r="L51" i="3"/>
  <c r="L52" i="3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J51" i="3"/>
  <c r="J52" i="3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25" i="2"/>
  <c r="L25" i="2" s="1"/>
  <c r="J4" i="2"/>
  <c r="L4" i="2" s="1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19" i="1"/>
  <c r="C22" i="1"/>
  <c r="C23" i="1"/>
  <c r="C24" i="1"/>
  <c r="C25" i="1"/>
  <c r="C30" i="1"/>
  <c r="C31" i="1"/>
  <c r="B23" i="1"/>
  <c r="B24" i="1"/>
  <c r="D23" i="1" l="1"/>
  <c r="D24" i="1"/>
  <c r="C16" i="1"/>
  <c r="C15" i="1"/>
  <c r="C13" i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B27" i="1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C10" i="1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J20" i="7"/>
  <c r="L20" i="7" s="1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67" i="6"/>
  <c r="L67" i="6" s="1"/>
  <c r="C28" i="1" s="1"/>
  <c r="J66" i="6"/>
  <c r="L66" i="6" s="1"/>
  <c r="C21" i="1" s="1"/>
  <c r="J65" i="6"/>
  <c r="L65" i="6" s="1"/>
  <c r="J64" i="6"/>
  <c r="L64" i="6" s="1"/>
  <c r="J63" i="6"/>
  <c r="L63" i="6" s="1"/>
  <c r="J62" i="6"/>
  <c r="L62" i="6" s="1"/>
  <c r="L61" i="6"/>
  <c r="J59" i="6"/>
  <c r="L59" i="6" s="1"/>
  <c r="J58" i="6"/>
  <c r="L58" i="6" s="1"/>
  <c r="C26" i="1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C7" i="1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J44" i="6"/>
  <c r="L44" i="6" s="1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76" i="5"/>
  <c r="L76" i="5" s="1"/>
  <c r="J75" i="5"/>
  <c r="L75" i="5" s="1"/>
  <c r="J74" i="5"/>
  <c r="L74" i="5" s="1"/>
  <c r="J73" i="5"/>
  <c r="L73" i="5" s="1"/>
  <c r="J72" i="5"/>
  <c r="L72" i="5" s="1"/>
  <c r="J71" i="5"/>
  <c r="L71" i="5" s="1"/>
  <c r="L70" i="5"/>
  <c r="J70" i="5"/>
  <c r="J69" i="5"/>
  <c r="L69" i="5" s="1"/>
  <c r="J68" i="5"/>
  <c r="L68" i="5" s="1"/>
  <c r="J67" i="5"/>
  <c r="L67" i="5" s="1"/>
  <c r="J66" i="5"/>
  <c r="L66" i="5" s="1"/>
  <c r="J65" i="5"/>
  <c r="L65" i="5" s="1"/>
  <c r="J64" i="5"/>
  <c r="L64" i="5" s="1"/>
  <c r="J63" i="5"/>
  <c r="L63" i="5" s="1"/>
  <c r="J62" i="5"/>
  <c r="L62" i="5" s="1"/>
  <c r="B30" i="1" s="1"/>
  <c r="D30" i="1" s="1"/>
  <c r="J61" i="5"/>
  <c r="L61" i="5" s="1"/>
  <c r="J60" i="5"/>
  <c r="L60" i="5" s="1"/>
  <c r="J59" i="5"/>
  <c r="L59" i="5" s="1"/>
  <c r="B29" i="1" s="1"/>
  <c r="J58" i="5"/>
  <c r="L58" i="5" s="1"/>
  <c r="J57" i="5"/>
  <c r="L57" i="5" s="1"/>
  <c r="J56" i="5"/>
  <c r="L56" i="5" s="1"/>
  <c r="J54" i="5"/>
  <c r="L54" i="5" s="1"/>
  <c r="J53" i="5"/>
  <c r="L53" i="5" s="1"/>
  <c r="J52" i="5"/>
  <c r="L52" i="5" s="1"/>
  <c r="J51" i="5"/>
  <c r="L51" i="5" s="1"/>
  <c r="J50" i="5"/>
  <c r="L50" i="5" s="1"/>
  <c r="J49" i="5"/>
  <c r="L49" i="5" s="1"/>
  <c r="J48" i="5"/>
  <c r="L48" i="5" s="1"/>
  <c r="J47" i="5"/>
  <c r="L47" i="5" s="1"/>
  <c r="J46" i="5"/>
  <c r="L46" i="5" s="1"/>
  <c r="J45" i="5"/>
  <c r="L45" i="5" s="1"/>
  <c r="J44" i="5"/>
  <c r="L44" i="5" s="1"/>
  <c r="J43" i="5"/>
  <c r="L43" i="5" s="1"/>
  <c r="L42" i="5"/>
  <c r="J40" i="5"/>
  <c r="L40" i="5" s="1"/>
  <c r="J39" i="5"/>
  <c r="L39" i="5" s="1"/>
  <c r="J38" i="5"/>
  <c r="L38" i="5" s="1"/>
  <c r="J37" i="5"/>
  <c r="L37" i="5" s="1"/>
  <c r="J36" i="5"/>
  <c r="L36" i="5" s="1"/>
  <c r="J35" i="5"/>
  <c r="L35" i="5" s="1"/>
  <c r="J34" i="5"/>
  <c r="L34" i="5" s="1"/>
  <c r="J33" i="5"/>
  <c r="L33" i="5" s="1"/>
  <c r="J32" i="5"/>
  <c r="L32" i="5" s="1"/>
  <c r="J31" i="5"/>
  <c r="L31" i="5" s="1"/>
  <c r="J30" i="5"/>
  <c r="L30" i="5" s="1"/>
  <c r="J29" i="5"/>
  <c r="L29" i="5" s="1"/>
  <c r="J28" i="5"/>
  <c r="L28" i="5" s="1"/>
  <c r="J27" i="5"/>
  <c r="L27" i="5" s="1"/>
  <c r="J26" i="5"/>
  <c r="L26" i="5" s="1"/>
  <c r="J25" i="5"/>
  <c r="L25" i="5" s="1"/>
  <c r="J24" i="5"/>
  <c r="L24" i="5" s="1"/>
  <c r="J23" i="5"/>
  <c r="L23" i="5" s="1"/>
  <c r="J22" i="5"/>
  <c r="L22" i="5" s="1"/>
  <c r="J21" i="5"/>
  <c r="L21" i="5" s="1"/>
  <c r="J20" i="5"/>
  <c r="L20" i="5" s="1"/>
  <c r="J19" i="5"/>
  <c r="L19" i="5" s="1"/>
  <c r="J18" i="5"/>
  <c r="L18" i="5" s="1"/>
  <c r="J17" i="5"/>
  <c r="L17" i="5" s="1"/>
  <c r="J16" i="5"/>
  <c r="L16" i="5" s="1"/>
  <c r="J15" i="5"/>
  <c r="L15" i="5" s="1"/>
  <c r="J14" i="5"/>
  <c r="L14" i="5" s="1"/>
  <c r="J13" i="5"/>
  <c r="L13" i="5" s="1"/>
  <c r="J12" i="5"/>
  <c r="L12" i="5" s="1"/>
  <c r="J11" i="5"/>
  <c r="L11" i="5" s="1"/>
  <c r="J10" i="5"/>
  <c r="L10" i="5" s="1"/>
  <c r="J8" i="5"/>
  <c r="L8" i="5" s="1"/>
  <c r="J7" i="5"/>
  <c r="L7" i="5" s="1"/>
  <c r="J6" i="5"/>
  <c r="L6" i="5" s="1"/>
  <c r="J5" i="5"/>
  <c r="L5" i="5" s="1"/>
  <c r="J4" i="5"/>
  <c r="L4" i="5" s="1"/>
  <c r="J3" i="5"/>
  <c r="L3" i="5" s="1"/>
  <c r="J2" i="5"/>
  <c r="L2" i="5" s="1"/>
  <c r="J15" i="4"/>
  <c r="L15" i="4" s="1"/>
  <c r="C29" i="1" s="1"/>
  <c r="J14" i="4"/>
  <c r="L14" i="4" s="1"/>
  <c r="C27" i="1" s="1"/>
  <c r="J13" i="4"/>
  <c r="L13" i="4" s="1"/>
  <c r="J12" i="4"/>
  <c r="L12" i="4" s="1"/>
  <c r="J11" i="4"/>
  <c r="L11" i="4" s="1"/>
  <c r="C18" i="1" s="1"/>
  <c r="J10" i="4"/>
  <c r="L10" i="4" s="1"/>
  <c r="C17" i="1" s="1"/>
  <c r="J9" i="4"/>
  <c r="L9" i="4" s="1"/>
  <c r="J8" i="4"/>
  <c r="L8" i="4" s="1"/>
  <c r="J7" i="4"/>
  <c r="L7" i="4" s="1"/>
  <c r="J6" i="4"/>
  <c r="L6" i="4" s="1"/>
  <c r="J5" i="4"/>
  <c r="L5" i="4" s="1"/>
  <c r="J4" i="4"/>
  <c r="L4" i="4" s="1"/>
  <c r="J3" i="4"/>
  <c r="C2" i="1"/>
  <c r="B31" i="1"/>
  <c r="D31" i="1" s="1"/>
  <c r="J38" i="3"/>
  <c r="L38" i="3" s="1"/>
  <c r="J37" i="3"/>
  <c r="L37" i="3" s="1"/>
  <c r="J33" i="3"/>
  <c r="L33" i="3" s="1"/>
  <c r="J32" i="3"/>
  <c r="L32" i="3" s="1"/>
  <c r="J31" i="3"/>
  <c r="L31" i="3" s="1"/>
  <c r="J30" i="3"/>
  <c r="L30" i="3" s="1"/>
  <c r="J29" i="3"/>
  <c r="L29" i="3" s="1"/>
  <c r="J28" i="3"/>
  <c r="L28" i="3" s="1"/>
  <c r="J27" i="3"/>
  <c r="L27" i="3" s="1"/>
  <c r="J26" i="3"/>
  <c r="L26" i="3" s="1"/>
  <c r="J25" i="3"/>
  <c r="L25" i="3" s="1"/>
  <c r="J24" i="3"/>
  <c r="L24" i="3" s="1"/>
  <c r="J23" i="3"/>
  <c r="L23" i="3" s="1"/>
  <c r="L22" i="3"/>
  <c r="J16" i="3"/>
  <c r="L16" i="3" s="1"/>
  <c r="J15" i="3"/>
  <c r="L15" i="3" s="1"/>
  <c r="J14" i="3"/>
  <c r="L14" i="3" s="1"/>
  <c r="J13" i="3"/>
  <c r="L13" i="3" s="1"/>
  <c r="J12" i="3"/>
  <c r="L12" i="3" s="1"/>
  <c r="J11" i="3"/>
  <c r="L11" i="3" s="1"/>
  <c r="J10" i="3"/>
  <c r="L10" i="3" s="1"/>
  <c r="J9" i="3"/>
  <c r="L9" i="3" s="1"/>
  <c r="J8" i="3"/>
  <c r="L8" i="3" s="1"/>
  <c r="J7" i="3"/>
  <c r="L7" i="3" s="1"/>
  <c r="J6" i="3"/>
  <c r="L6" i="3" s="1"/>
  <c r="J5" i="3"/>
  <c r="L5" i="3" s="1"/>
  <c r="J4" i="3"/>
  <c r="L4" i="3" s="1"/>
  <c r="J3" i="3"/>
  <c r="L3" i="3" s="1"/>
  <c r="J2" i="3"/>
  <c r="L2" i="3" s="1"/>
  <c r="C11" i="1"/>
  <c r="C9" i="1"/>
  <c r="C8" i="1"/>
  <c r="C6" i="1"/>
  <c r="J29" i="2"/>
  <c r="J28" i="2"/>
  <c r="L28" i="2" s="1"/>
  <c r="J27" i="2"/>
  <c r="L27" i="2" s="1"/>
  <c r="J26" i="2"/>
  <c r="L26" i="2" s="1"/>
  <c r="B19" i="1" s="1"/>
  <c r="D19" i="1" s="1"/>
  <c r="J24" i="2"/>
  <c r="L24" i="2" s="1"/>
  <c r="J23" i="2"/>
  <c r="L23" i="2" s="1"/>
  <c r="B17" i="1" s="1"/>
  <c r="J22" i="2"/>
  <c r="L22" i="2" s="1"/>
  <c r="B16" i="1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8" i="2"/>
  <c r="L8" i="2" s="1"/>
  <c r="J7" i="2"/>
  <c r="L7" i="2" s="1"/>
  <c r="B5" i="1" s="1"/>
  <c r="J6" i="2"/>
  <c r="L6" i="2" s="1"/>
  <c r="J5" i="2"/>
  <c r="L5" i="2" s="1"/>
  <c r="J3" i="2"/>
  <c r="L3" i="2" s="1"/>
  <c r="J2" i="2"/>
  <c r="L2" i="2" s="1"/>
  <c r="D16" i="1" l="1"/>
  <c r="B22" i="1"/>
  <c r="D22" i="1" s="1"/>
  <c r="B18" i="1"/>
  <c r="D18" i="1" s="1"/>
  <c r="C12" i="1"/>
  <c r="C20" i="1"/>
  <c r="C5" i="1"/>
  <c r="D5" i="1" s="1"/>
  <c r="B12" i="1"/>
  <c r="D27" i="1"/>
  <c r="B14" i="1"/>
  <c r="D14" i="1" s="1"/>
  <c r="B2" i="1"/>
  <c r="D2" i="1" s="1"/>
  <c r="B15" i="1"/>
  <c r="D15" i="1" s="1"/>
  <c r="B28" i="1"/>
  <c r="D28" i="1" s="1"/>
  <c r="D17" i="1"/>
  <c r="D29" i="1"/>
  <c r="B26" i="1"/>
  <c r="D26" i="1" s="1"/>
  <c r="B25" i="1"/>
  <c r="D25" i="1" s="1"/>
  <c r="B4" i="1"/>
  <c r="B10" i="1"/>
  <c r="D10" i="1" s="1"/>
  <c r="B6" i="1"/>
  <c r="D6" i="1" s="1"/>
  <c r="B13" i="1"/>
  <c r="D13" i="1" s="1"/>
  <c r="B8" i="1"/>
  <c r="D8" i="1" s="1"/>
  <c r="B7" i="1"/>
  <c r="D7" i="1" s="1"/>
  <c r="B20" i="1"/>
  <c r="B9" i="1"/>
  <c r="D9" i="1" s="1"/>
  <c r="B21" i="1"/>
  <c r="D21" i="1" s="1"/>
  <c r="B3" i="1"/>
  <c r="C3" i="1"/>
  <c r="B11" i="1"/>
  <c r="D11" i="1" s="1"/>
  <c r="C4" i="1"/>
  <c r="D20" i="1" l="1"/>
  <c r="D12" i="1"/>
  <c r="D4" i="1"/>
  <c r="D3" i="1"/>
</calcChain>
</file>

<file path=xl/sharedStrings.xml><?xml version="1.0" encoding="utf-8"?>
<sst xmlns="http://schemas.openxmlformats.org/spreadsheetml/2006/main" count="2158" uniqueCount="152">
  <si>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</si>
  <si>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</si>
  <si>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</si>
  <si>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</si>
  <si>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</si>
  <si>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</si>
  <si>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</si>
  <si>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</si>
  <si>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</si>
  <si>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</si>
  <si>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</si>
  <si>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</si>
  <si>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</si>
  <si>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</si>
  <si>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</si>
  <si>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</si>
  <si>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</si>
  <si>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</si>
  <si>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</si>
  <si>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</si>
  <si>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</si>
  <si>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</si>
  <si>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</si>
  <si>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</si>
  <si>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</si>
  <si>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</si>
  <si>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</si>
  <si>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</si>
  <si>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</si>
  <si>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</si>
  <si>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</si>
  <si>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</si>
  <si>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</si>
  <si>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</si>
  <si>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</si>
  <si>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</si>
  <si>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</si>
  <si>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</si>
  <si>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</si>
  <si>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</si>
  <si>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</si>
  <si>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</si>
  <si>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</si>
  <si>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</si>
  <si>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</si>
  <si>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</si>
  <si>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</si>
  <si>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</si>
  <si>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</si>
  <si>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</si>
  <si>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</si>
  <si>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</si>
  <si>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</si>
  <si>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</si>
  <si>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</si>
  <si>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</si>
  <si>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</si>
  <si>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</si>
  <si>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</si>
  <si>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</si>
  <si>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</si>
  <si>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</si>
  <si>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</si>
  <si>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</si>
  <si>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</si>
  <si>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</si>
  <si>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</si>
  <si>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</si>
  <si>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</si>
  <si>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</si>
  <si>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</si>
  <si>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</si>
  <si>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</si>
  <si>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</si>
  <si>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</si>
  <si>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</si>
  <si>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</si>
  <si>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</si>
  <si>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</si>
  <si>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</si>
  <si>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</si>
  <si>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</si>
  <si>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</si>
  <si>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</si>
  <si>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</si>
  <si>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</si>
  <si>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</si>
  <si>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</si>
  <si>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</si>
  <si>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</si>
  <si>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</si>
  <si>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</si>
  <si>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</si>
  <si>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</si>
  <si>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</si>
  <si>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</si>
  <si>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</si>
  <si>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</si>
  <si>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</si>
  <si>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</si>
  <si>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</si>
  <si>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</si>
  <si>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Balsam Artificial</t>
  </si>
  <si>
    <t>4g</t>
  </si>
  <si>
    <t>12g</t>
  </si>
  <si>
    <t>25801.5g</t>
  </si>
  <si>
    <t>17t 3h 49g</t>
  </si>
  <si>
    <t>473bags</t>
  </si>
  <si>
    <t>Spruce Beer</t>
  </si>
  <si>
    <t>40g</t>
  </si>
  <si>
    <t>228g</t>
  </si>
  <si>
    <t>42g</t>
  </si>
  <si>
    <t>42763g</t>
  </si>
  <si>
    <t>69t 1h 27g</t>
  </si>
  <si>
    <t>9t 3h 25g</t>
  </si>
  <si>
    <t>129bags</t>
  </si>
  <si>
    <t>Aloes Licotrina</t>
  </si>
  <si>
    <t>1782g</t>
  </si>
  <si>
    <t>23g</t>
  </si>
  <si>
    <t>183072g</t>
  </si>
  <si>
    <t>4t 1h 47g</t>
  </si>
  <si>
    <t>29t 1h 6g</t>
  </si>
  <si>
    <t>Wood, Cocus</t>
  </si>
  <si>
    <t>413bags</t>
  </si>
  <si>
    <t>9615g</t>
  </si>
  <si>
    <t>143bags</t>
  </si>
  <si>
    <t>192g</t>
  </si>
  <si>
    <t>4363.75g</t>
  </si>
  <si>
    <t>43t 2h 62g</t>
  </si>
  <si>
    <t>3t 3h 50g</t>
  </si>
  <si>
    <t>422bags</t>
  </si>
  <si>
    <t>23.5g</t>
  </si>
  <si>
    <t>3338.25g</t>
  </si>
  <si>
    <t>2t 1h 61g</t>
  </si>
  <si>
    <t>1536.25bags</t>
  </si>
  <si>
    <t>Pig Iron</t>
  </si>
  <si>
    <t>8227g</t>
  </si>
  <si>
    <t>1t 3h 18g</t>
  </si>
  <si>
    <t>1078 bags</t>
  </si>
  <si>
    <t>1g</t>
  </si>
  <si>
    <t>41221.5g</t>
  </si>
  <si>
    <t>7t 14g</t>
  </si>
  <si>
    <t>1089bags</t>
  </si>
  <si>
    <t>8g</t>
  </si>
  <si>
    <t>6g</t>
  </si>
  <si>
    <t>1883g</t>
  </si>
  <si>
    <t>1h 30g</t>
  </si>
  <si>
    <t>229.25bags</t>
  </si>
  <si>
    <t>64bags</t>
  </si>
  <si>
    <t>1h 41g</t>
  </si>
  <si>
    <t>811g</t>
  </si>
  <si>
    <t>1003.25bags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</si>
</sst>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D7" sqref="D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</v>
      </c>
      <c r="D2">
        <f>B2+C2</f>
        <v>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4.6437499999999998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0.74196428571428574</v>
      </c>
      <c r="D3">
        <f t="shared" ref="D3:D31" si="0">B3+C3</f>
        <v>5.3857142857142852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23347.141517857141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11903.865625</v>
      </c>
      <c r="D4">
        <f t="shared" si="0"/>
        <v>35251.007142857139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194.99464285714285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2.7897321428571429</v>
      </c>
      <c r="D6">
        <f t="shared" si="0"/>
        <v>197.78437499999998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141.07455357142857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446.40625</v>
      </c>
      <c r="D7">
        <f t="shared" si="0"/>
        <v>587.48080357142862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527.5196428571428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374.88125000000002</v>
      </c>
      <c r="D8">
        <f t="shared" si="0"/>
        <v>902.40089285714282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35.733928571428571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42.04821428571428</v>
      </c>
      <c r="D9">
        <f t="shared" si="0"/>
        <v>77.782142857142844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31.73571428571428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11.587053571428573</v>
      </c>
      <c r="D10">
        <f t="shared" si="0"/>
        <v>43.32276785714285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16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1.5</v>
      </c>
      <c r="D11">
        <f t="shared" si="0"/>
        <v>17.5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8.9937500000000004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3.5714285714285712E-2</v>
      </c>
      <c r="D12">
        <f t="shared" si="0"/>
        <v>9.0294642857142868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0.25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0</v>
      </c>
      <c r="D13">
        <f t="shared" si="0"/>
        <v>0.25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125.30178571428571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44.83526785714286</v>
      </c>
      <c r="D14">
        <f t="shared" si="0"/>
        <v>170.13705357142857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0.18124999999999999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0</v>
      </c>
      <c r="D15">
        <f t="shared" si="0"/>
        <v>0.18124999999999999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1169.4061383928572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247.77232142857142</v>
      </c>
      <c r="D16">
        <f t="shared" si="0"/>
        <v>1417.1784598214285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2.4852678571428575</v>
      </c>
      <c r="D17">
        <f t="shared" si="0"/>
        <v>2.4852678571428575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1.8272321428571427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0.22455357142857144</v>
      </c>
      <c r="D18">
        <f t="shared" si="0"/>
        <v>2.0517857142857143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0.16741071428571427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0</v>
      </c>
      <c r="D19">
        <f t="shared" si="0"/>
        <v>0.16741071428571427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3.6399553571428571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6.0714285714285714E-2</v>
      </c>
      <c r="D20">
        <f t="shared" si="0"/>
        <v>3.7006696428571426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9.4705357142857149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</v>
      </c>
      <c r="D25">
        <f t="shared" si="0"/>
        <v>9.4705357142857149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161.71964285714284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11.863839285714285</v>
      </c>
      <c r="D26">
        <f t="shared" si="0"/>
        <v>173.58348214285712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19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0</v>
      </c>
      <c r="D27">
        <f t="shared" si="0"/>
        <v>19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294.58749999999998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121.61785714285715</v>
      </c>
      <c r="D28">
        <f t="shared" si="0"/>
        <v>416.20535714285711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301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94.265178571428578</v>
      </c>
      <c r="D29">
        <f t="shared" si="0"/>
        <v>395.26517857142858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117.21473214285714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285.94910714285714</v>
      </c>
      <c r="D30">
        <f t="shared" si="0"/>
        <v>403.16383928571429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F12" sqref="F1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90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91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92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93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4"/>
  <sheetViews>
    <sheetView topLeftCell="A10" workbookViewId="0">
      <selection activeCell="H41" sqref="H41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1740</v>
      </c>
      <c r="B2" t="s">
        <v>38</v>
      </c>
      <c r="C2" t="s">
        <v>55</v>
      </c>
      <c r="D2" t="s">
        <v>33</v>
      </c>
      <c r="J2">
        <f t="shared" ref="J2:J64" si="0">(E2*2240)+(F2*112)+(G2*28)+H2</f>
        <v>0</v>
      </c>
      <c r="L2">
        <f t="shared" ref="L2:L64" si="1">J2/2240</f>
        <v>0</v>
      </c>
    </row>
    <row r="3" spans="1:15" x14ac:dyDescent="0.25">
      <c r="A3">
        <v>1740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1740</v>
      </c>
      <c r="B4" t="s">
        <v>102</v>
      </c>
      <c r="C4" t="s">
        <v>55</v>
      </c>
      <c r="D4" t="s">
        <v>33</v>
      </c>
      <c r="H4">
        <v>28</v>
      </c>
      <c r="J4">
        <f t="shared" si="0"/>
        <v>28</v>
      </c>
      <c r="L4">
        <f t="shared" si="1"/>
        <v>1.2500000000000001E-2</v>
      </c>
    </row>
    <row r="5" spans="1:15" x14ac:dyDescent="0.25">
      <c r="A5">
        <v>1740</v>
      </c>
      <c r="B5" t="s">
        <v>5</v>
      </c>
      <c r="C5" t="s">
        <v>55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1740</v>
      </c>
      <c r="B6" t="s">
        <v>6</v>
      </c>
      <c r="C6" t="s">
        <v>55</v>
      </c>
      <c r="D6" t="s">
        <v>33</v>
      </c>
      <c r="F6">
        <v>72669</v>
      </c>
      <c r="G6">
        <v>1</v>
      </c>
      <c r="H6">
        <v>3</v>
      </c>
      <c r="J6">
        <f t="shared" si="0"/>
        <v>8138959</v>
      </c>
      <c r="L6">
        <f t="shared" si="1"/>
        <v>3633.4638392857141</v>
      </c>
    </row>
    <row r="7" spans="1:15" x14ac:dyDescent="0.25">
      <c r="A7">
        <v>1740</v>
      </c>
      <c r="B7" t="s">
        <v>7</v>
      </c>
      <c r="C7" t="s">
        <v>55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1740</v>
      </c>
      <c r="B8" t="s">
        <v>8</v>
      </c>
      <c r="C8" t="s">
        <v>55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1740</v>
      </c>
      <c r="B9" t="s">
        <v>48</v>
      </c>
      <c r="C9" t="s">
        <v>55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1740</v>
      </c>
      <c r="B10" t="s">
        <v>9</v>
      </c>
      <c r="C10" t="s">
        <v>55</v>
      </c>
      <c r="D10" t="s">
        <v>33</v>
      </c>
      <c r="H10">
        <f>200*473</f>
        <v>94600</v>
      </c>
      <c r="I10" t="s">
        <v>107</v>
      </c>
      <c r="J10">
        <f t="shared" si="0"/>
        <v>94600</v>
      </c>
      <c r="L10">
        <f t="shared" si="1"/>
        <v>42.232142857142854</v>
      </c>
    </row>
    <row r="11" spans="1:15" x14ac:dyDescent="0.25">
      <c r="A11">
        <v>1740</v>
      </c>
      <c r="B11" t="s">
        <v>10</v>
      </c>
      <c r="C11" t="s">
        <v>55</v>
      </c>
      <c r="D11" t="s">
        <v>33</v>
      </c>
      <c r="F11">
        <v>689</v>
      </c>
      <c r="G11">
        <v>3</v>
      </c>
      <c r="H11">
        <v>8</v>
      </c>
      <c r="J11">
        <f t="shared" si="0"/>
        <v>77260</v>
      </c>
      <c r="L11">
        <f t="shared" si="1"/>
        <v>34.491071428571431</v>
      </c>
    </row>
    <row r="12" spans="1:15" x14ac:dyDescent="0.25">
      <c r="A12">
        <v>1740</v>
      </c>
      <c r="B12" t="s">
        <v>11</v>
      </c>
      <c r="C12" t="s">
        <v>55</v>
      </c>
      <c r="D12" t="s">
        <v>33</v>
      </c>
      <c r="F12">
        <v>15</v>
      </c>
      <c r="G12">
        <v>1</v>
      </c>
      <c r="H12">
        <v>24</v>
      </c>
      <c r="J12">
        <f t="shared" si="0"/>
        <v>1732</v>
      </c>
      <c r="L12">
        <f t="shared" si="1"/>
        <v>0.77321428571428574</v>
      </c>
    </row>
    <row r="13" spans="1:15" x14ac:dyDescent="0.25">
      <c r="A13">
        <v>1740</v>
      </c>
      <c r="B13" t="s">
        <v>41</v>
      </c>
      <c r="C13" t="s">
        <v>55</v>
      </c>
      <c r="D13" t="s">
        <v>33</v>
      </c>
      <c r="H13">
        <v>60</v>
      </c>
      <c r="J13">
        <f t="shared" si="0"/>
        <v>60</v>
      </c>
      <c r="L13">
        <f t="shared" si="1"/>
        <v>2.6785714285714284E-2</v>
      </c>
    </row>
    <row r="14" spans="1:15" x14ac:dyDescent="0.25">
      <c r="A14">
        <v>1740</v>
      </c>
      <c r="B14" t="s">
        <v>12</v>
      </c>
      <c r="C14" t="s">
        <v>55</v>
      </c>
      <c r="D14" t="s">
        <v>33</v>
      </c>
      <c r="H14">
        <v>884</v>
      </c>
      <c r="J14">
        <f t="shared" si="0"/>
        <v>884</v>
      </c>
      <c r="L14">
        <f t="shared" si="1"/>
        <v>0.39464285714285713</v>
      </c>
    </row>
    <row r="15" spans="1:15" x14ac:dyDescent="0.25">
      <c r="A15">
        <v>1740</v>
      </c>
      <c r="B15" t="s">
        <v>34</v>
      </c>
      <c r="C15" t="s">
        <v>55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1740</v>
      </c>
      <c r="B16" t="s">
        <v>13</v>
      </c>
      <c r="C16" t="s">
        <v>55</v>
      </c>
      <c r="D16" t="s">
        <v>33</v>
      </c>
      <c r="E16">
        <v>2</v>
      </c>
      <c r="J16">
        <f t="shared" si="0"/>
        <v>4480</v>
      </c>
      <c r="L16">
        <f t="shared" si="1"/>
        <v>2</v>
      </c>
    </row>
    <row r="17" spans="1:12" x14ac:dyDescent="0.25">
      <c r="A17">
        <v>1740</v>
      </c>
      <c r="B17" t="s">
        <v>14</v>
      </c>
      <c r="C17" t="s">
        <v>55</v>
      </c>
      <c r="D17" t="s">
        <v>33</v>
      </c>
      <c r="H17">
        <v>40</v>
      </c>
      <c r="I17" t="s">
        <v>103</v>
      </c>
      <c r="J17">
        <f t="shared" si="0"/>
        <v>40</v>
      </c>
      <c r="L17">
        <f t="shared" si="1"/>
        <v>1.7857142857142856E-2</v>
      </c>
    </row>
    <row r="18" spans="1:12" x14ac:dyDescent="0.25">
      <c r="A18">
        <v>1740</v>
      </c>
      <c r="B18" t="s">
        <v>27</v>
      </c>
      <c r="C18" t="s">
        <v>55</v>
      </c>
      <c r="D18" t="s">
        <v>33</v>
      </c>
      <c r="H18">
        <v>38840</v>
      </c>
      <c r="I18" t="s">
        <v>106</v>
      </c>
      <c r="J18">
        <f t="shared" si="0"/>
        <v>38840</v>
      </c>
      <c r="L18">
        <f t="shared" si="1"/>
        <v>17.339285714285715</v>
      </c>
    </row>
    <row r="19" spans="1:12" x14ac:dyDescent="0.25">
      <c r="A19">
        <v>1740</v>
      </c>
      <c r="B19" t="s">
        <v>15</v>
      </c>
      <c r="C19" t="s">
        <v>55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1740</v>
      </c>
      <c r="B20" t="s">
        <v>49</v>
      </c>
      <c r="C20" t="s">
        <v>55</v>
      </c>
      <c r="D20" t="s">
        <v>33</v>
      </c>
      <c r="H20">
        <v>120</v>
      </c>
      <c r="I20" t="s">
        <v>104</v>
      </c>
      <c r="J20">
        <f t="shared" si="0"/>
        <v>120</v>
      </c>
      <c r="L20">
        <f t="shared" si="1"/>
        <v>5.3571428571428568E-2</v>
      </c>
    </row>
    <row r="21" spans="1:12" x14ac:dyDescent="0.25">
      <c r="A21">
        <v>1740</v>
      </c>
      <c r="B21" t="s">
        <v>17</v>
      </c>
      <c r="C21" t="s">
        <v>55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1740</v>
      </c>
      <c r="B22" t="s">
        <v>18</v>
      </c>
      <c r="C22" t="s">
        <v>55</v>
      </c>
      <c r="D22" t="s">
        <v>33</v>
      </c>
      <c r="H22">
        <v>258081</v>
      </c>
      <c r="I22" t="s">
        <v>105</v>
      </c>
      <c r="J22">
        <f t="shared" si="0"/>
        <v>258081</v>
      </c>
      <c r="L22">
        <f t="shared" si="1"/>
        <v>115.21473214285714</v>
      </c>
    </row>
    <row r="23" spans="1:12" x14ac:dyDescent="0.25">
      <c r="A23">
        <v>1740</v>
      </c>
      <c r="B23" t="s">
        <v>19</v>
      </c>
      <c r="C23" t="s">
        <v>55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1740</v>
      </c>
      <c r="B24" t="s">
        <v>56</v>
      </c>
      <c r="C24" t="s">
        <v>55</v>
      </c>
      <c r="D24" t="s">
        <v>33</v>
      </c>
      <c r="H24">
        <v>448</v>
      </c>
      <c r="J24">
        <f t="shared" si="0"/>
        <v>448</v>
      </c>
      <c r="L24">
        <f t="shared" si="1"/>
        <v>0.2</v>
      </c>
    </row>
    <row r="25" spans="1:12" x14ac:dyDescent="0.25">
      <c r="A25">
        <v>1740</v>
      </c>
      <c r="B25" t="s">
        <v>90</v>
      </c>
      <c r="C25" t="s">
        <v>55</v>
      </c>
      <c r="D25" t="s">
        <v>33</v>
      </c>
      <c r="H25">
        <v>58</v>
      </c>
      <c r="J25">
        <f t="shared" si="0"/>
        <v>58</v>
      </c>
      <c r="L25">
        <f t="shared" si="1"/>
        <v>2.5892857142857145E-2</v>
      </c>
    </row>
    <row r="26" spans="1:12" x14ac:dyDescent="0.25">
      <c r="A26">
        <v>1740</v>
      </c>
      <c r="B26" t="s">
        <v>20</v>
      </c>
      <c r="C26" t="s">
        <v>55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1740</v>
      </c>
      <c r="B27" t="s">
        <v>21</v>
      </c>
      <c r="C27" t="s">
        <v>55</v>
      </c>
      <c r="D27" t="s">
        <v>33</v>
      </c>
      <c r="H27">
        <v>16</v>
      </c>
      <c r="J27">
        <f t="shared" si="0"/>
        <v>16</v>
      </c>
      <c r="L27">
        <f t="shared" si="1"/>
        <v>7.1428571428571426E-3</v>
      </c>
    </row>
    <row r="28" spans="1:12" x14ac:dyDescent="0.25">
      <c r="A28">
        <v>1740</v>
      </c>
      <c r="B28" t="s">
        <v>94</v>
      </c>
      <c r="C28" t="s">
        <v>55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1740</v>
      </c>
      <c r="B29" t="s">
        <v>22</v>
      </c>
      <c r="C29" t="s">
        <v>55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1740</v>
      </c>
      <c r="B30" t="s">
        <v>63</v>
      </c>
      <c r="C30" t="s">
        <v>55</v>
      </c>
      <c r="D30" t="s">
        <v>33</v>
      </c>
      <c r="E30">
        <v>19</v>
      </c>
      <c r="J30">
        <f t="shared" si="0"/>
        <v>42560</v>
      </c>
      <c r="L30">
        <f t="shared" si="1"/>
        <v>19</v>
      </c>
    </row>
    <row r="31" spans="1:12" x14ac:dyDescent="0.25">
      <c r="A31">
        <v>1740</v>
      </c>
      <c r="B31" t="s">
        <v>64</v>
      </c>
      <c r="C31" t="s">
        <v>55</v>
      </c>
      <c r="D31" t="s">
        <v>33</v>
      </c>
      <c r="E31">
        <v>35</v>
      </c>
      <c r="J31">
        <f t="shared" si="0"/>
        <v>78400</v>
      </c>
      <c r="L31">
        <f t="shared" si="1"/>
        <v>35</v>
      </c>
    </row>
    <row r="32" spans="1:12" x14ac:dyDescent="0.25">
      <c r="A32">
        <v>1740</v>
      </c>
      <c r="B32" t="s">
        <v>65</v>
      </c>
      <c r="C32" t="s">
        <v>55</v>
      </c>
      <c r="D32" t="s">
        <v>33</v>
      </c>
      <c r="E32">
        <v>10</v>
      </c>
      <c r="J32">
        <f t="shared" si="0"/>
        <v>22400</v>
      </c>
      <c r="L32">
        <f t="shared" si="1"/>
        <v>10</v>
      </c>
    </row>
    <row r="33" spans="1:12" x14ac:dyDescent="0.25">
      <c r="A33">
        <v>1740</v>
      </c>
      <c r="B33" t="s">
        <v>93</v>
      </c>
      <c r="C33" t="s">
        <v>55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1740</v>
      </c>
      <c r="B34" t="s">
        <v>66</v>
      </c>
      <c r="C34" t="s">
        <v>55</v>
      </c>
      <c r="D34" t="s">
        <v>33</v>
      </c>
      <c r="E34">
        <v>51</v>
      </c>
      <c r="J34">
        <f t="shared" si="0"/>
        <v>114240</v>
      </c>
      <c r="L34">
        <f t="shared" si="1"/>
        <v>51</v>
      </c>
    </row>
    <row r="35" spans="1:12" x14ac:dyDescent="0.25">
      <c r="A35">
        <v>1740</v>
      </c>
      <c r="B35" t="s">
        <v>5</v>
      </c>
      <c r="C35" t="s">
        <v>55</v>
      </c>
      <c r="D35" t="s">
        <v>35</v>
      </c>
      <c r="G35">
        <v>3</v>
      </c>
      <c r="H35">
        <v>24</v>
      </c>
      <c r="J35">
        <f t="shared" si="0"/>
        <v>108</v>
      </c>
      <c r="L35">
        <f t="shared" si="1"/>
        <v>4.8214285714285716E-2</v>
      </c>
    </row>
    <row r="36" spans="1:12" x14ac:dyDescent="0.25">
      <c r="A36">
        <v>1740</v>
      </c>
      <c r="B36" t="s">
        <v>6</v>
      </c>
      <c r="C36" t="s">
        <v>55</v>
      </c>
      <c r="D36" t="s">
        <v>35</v>
      </c>
      <c r="F36">
        <v>34782</v>
      </c>
      <c r="G36">
        <v>3</v>
      </c>
      <c r="H36">
        <v>22</v>
      </c>
      <c r="J36">
        <f t="shared" si="0"/>
        <v>3895690</v>
      </c>
      <c r="L36">
        <f t="shared" si="1"/>
        <v>1739.1473214285713</v>
      </c>
    </row>
    <row r="37" spans="1:12" x14ac:dyDescent="0.25">
      <c r="A37">
        <v>1740</v>
      </c>
      <c r="B37" t="s">
        <v>37</v>
      </c>
      <c r="C37" t="s">
        <v>55</v>
      </c>
      <c r="D37" t="s">
        <v>35</v>
      </c>
      <c r="J37">
        <f t="shared" si="0"/>
        <v>0</v>
      </c>
      <c r="L37">
        <f t="shared" si="1"/>
        <v>0</v>
      </c>
    </row>
    <row r="38" spans="1:12" x14ac:dyDescent="0.25">
      <c r="A38">
        <v>1740</v>
      </c>
      <c r="B38" t="s">
        <v>8</v>
      </c>
      <c r="C38" t="s">
        <v>55</v>
      </c>
      <c r="D38" t="s">
        <v>35</v>
      </c>
      <c r="J38">
        <f t="shared" si="0"/>
        <v>0</v>
      </c>
      <c r="L38">
        <f t="shared" si="1"/>
        <v>0</v>
      </c>
    </row>
    <row r="39" spans="1:12" x14ac:dyDescent="0.25">
      <c r="A39">
        <v>1740</v>
      </c>
      <c r="B39" t="s">
        <v>80</v>
      </c>
      <c r="C39" t="s">
        <v>55</v>
      </c>
      <c r="D39" t="s">
        <v>35</v>
      </c>
      <c r="G39">
        <v>2</v>
      </c>
      <c r="H39">
        <v>19</v>
      </c>
      <c r="J39">
        <f t="shared" si="0"/>
        <v>75</v>
      </c>
      <c r="L39">
        <f t="shared" si="1"/>
        <v>3.3482142857142856E-2</v>
      </c>
    </row>
    <row r="40" spans="1:12" x14ac:dyDescent="0.25">
      <c r="A40">
        <v>1740</v>
      </c>
      <c r="B40" t="s">
        <v>9</v>
      </c>
      <c r="C40" t="s">
        <v>55</v>
      </c>
      <c r="D40" t="s">
        <v>35</v>
      </c>
      <c r="H40">
        <f>200*1536.25</f>
        <v>307250</v>
      </c>
      <c r="I40" t="s">
        <v>134</v>
      </c>
      <c r="J40">
        <f t="shared" si="0"/>
        <v>307250</v>
      </c>
      <c r="L40">
        <f t="shared" si="1"/>
        <v>137.16517857142858</v>
      </c>
    </row>
    <row r="41" spans="1:12" x14ac:dyDescent="0.25">
      <c r="A41">
        <v>1740</v>
      </c>
      <c r="B41" t="s">
        <v>10</v>
      </c>
      <c r="C41" t="s">
        <v>55</v>
      </c>
      <c r="D41" t="s">
        <v>35</v>
      </c>
      <c r="F41">
        <v>1787</v>
      </c>
      <c r="G41">
        <v>1</v>
      </c>
      <c r="H41">
        <v>23</v>
      </c>
      <c r="J41">
        <f t="shared" si="0"/>
        <v>200195</v>
      </c>
      <c r="L41">
        <f t="shared" si="1"/>
        <v>89.372767857142861</v>
      </c>
    </row>
    <row r="42" spans="1:12" x14ac:dyDescent="0.25">
      <c r="A42">
        <v>1740</v>
      </c>
      <c r="B42" t="s">
        <v>11</v>
      </c>
      <c r="C42" t="s">
        <v>55</v>
      </c>
      <c r="D42" t="s">
        <v>35</v>
      </c>
      <c r="F42">
        <v>139</v>
      </c>
      <c r="G42">
        <v>2</v>
      </c>
      <c r="H42">
        <v>15</v>
      </c>
      <c r="J42">
        <f t="shared" si="0"/>
        <v>15639</v>
      </c>
      <c r="L42">
        <f t="shared" si="1"/>
        <v>6.9816964285714285</v>
      </c>
    </row>
    <row r="43" spans="1:12" x14ac:dyDescent="0.25">
      <c r="A43">
        <v>1740</v>
      </c>
      <c r="B43" t="s">
        <v>36</v>
      </c>
      <c r="C43" t="s">
        <v>55</v>
      </c>
      <c r="D43" t="s">
        <v>35</v>
      </c>
      <c r="J43">
        <f t="shared" si="0"/>
        <v>0</v>
      </c>
      <c r="L43">
        <f t="shared" si="1"/>
        <v>0</v>
      </c>
    </row>
    <row r="44" spans="1:12" x14ac:dyDescent="0.25">
      <c r="A44">
        <v>1740</v>
      </c>
      <c r="B44" t="s">
        <v>41</v>
      </c>
      <c r="C44" t="s">
        <v>55</v>
      </c>
      <c r="D44" t="s">
        <v>35</v>
      </c>
      <c r="J44">
        <f t="shared" si="0"/>
        <v>0</v>
      </c>
      <c r="L44">
        <f t="shared" si="1"/>
        <v>0</v>
      </c>
    </row>
    <row r="45" spans="1:12" x14ac:dyDescent="0.25">
      <c r="A45">
        <v>1740</v>
      </c>
      <c r="B45" t="s">
        <v>12</v>
      </c>
      <c r="C45" t="s">
        <v>55</v>
      </c>
      <c r="D45" t="s">
        <v>35</v>
      </c>
      <c r="J45">
        <f t="shared" si="0"/>
        <v>0</v>
      </c>
      <c r="L45">
        <f t="shared" si="1"/>
        <v>0</v>
      </c>
    </row>
    <row r="46" spans="1:12" x14ac:dyDescent="0.25">
      <c r="A46">
        <v>1740</v>
      </c>
      <c r="B46" t="s">
        <v>13</v>
      </c>
      <c r="C46" t="s">
        <v>55</v>
      </c>
      <c r="D46" t="s">
        <v>35</v>
      </c>
      <c r="J46">
        <f t="shared" si="0"/>
        <v>0</v>
      </c>
      <c r="L46">
        <f t="shared" si="1"/>
        <v>0</v>
      </c>
    </row>
    <row r="47" spans="1:12" x14ac:dyDescent="0.25">
      <c r="A47">
        <v>1740</v>
      </c>
      <c r="B47" t="s">
        <v>14</v>
      </c>
      <c r="C47" t="s">
        <v>55</v>
      </c>
      <c r="D47" t="s">
        <v>35</v>
      </c>
      <c r="J47">
        <f t="shared" si="0"/>
        <v>0</v>
      </c>
      <c r="L47">
        <f t="shared" si="1"/>
        <v>0</v>
      </c>
    </row>
    <row r="48" spans="1:12" x14ac:dyDescent="0.25">
      <c r="A48">
        <v>1740</v>
      </c>
      <c r="B48" t="s">
        <v>27</v>
      </c>
      <c r="C48" t="s">
        <v>55</v>
      </c>
      <c r="D48" t="s">
        <v>35</v>
      </c>
      <c r="H48">
        <v>5471</v>
      </c>
      <c r="I48" t="s">
        <v>133</v>
      </c>
      <c r="J48">
        <f t="shared" si="0"/>
        <v>5471</v>
      </c>
      <c r="L48">
        <f t="shared" si="1"/>
        <v>2.4424107142857143</v>
      </c>
    </row>
    <row r="49" spans="1:12" x14ac:dyDescent="0.25">
      <c r="A49">
        <v>1740</v>
      </c>
      <c r="B49" t="s">
        <v>15</v>
      </c>
      <c r="C49" t="s">
        <v>55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1740</v>
      </c>
      <c r="B50" t="s">
        <v>49</v>
      </c>
      <c r="C50" t="s">
        <v>55</v>
      </c>
      <c r="D50" t="s">
        <v>35</v>
      </c>
      <c r="H50">
        <v>235</v>
      </c>
      <c r="I50" t="s">
        <v>131</v>
      </c>
      <c r="J50">
        <f t="shared" si="0"/>
        <v>235</v>
      </c>
      <c r="L50">
        <f t="shared" si="1"/>
        <v>0.10491071428571429</v>
      </c>
    </row>
    <row r="51" spans="1:12" x14ac:dyDescent="0.25">
      <c r="A51">
        <v>1740</v>
      </c>
      <c r="B51" t="s">
        <v>17</v>
      </c>
      <c r="C51" t="s">
        <v>55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1740</v>
      </c>
      <c r="B52" t="s">
        <v>18</v>
      </c>
      <c r="C52" t="s">
        <v>55</v>
      </c>
      <c r="D52" t="s">
        <v>35</v>
      </c>
      <c r="H52">
        <v>33391</v>
      </c>
      <c r="I52" t="s">
        <v>132</v>
      </c>
      <c r="J52">
        <f t="shared" si="0"/>
        <v>33391</v>
      </c>
      <c r="L52">
        <f t="shared" si="1"/>
        <v>14.906696428571429</v>
      </c>
    </row>
    <row r="53" spans="1:12" x14ac:dyDescent="0.25">
      <c r="A53">
        <v>1740</v>
      </c>
      <c r="B53" t="s">
        <v>19</v>
      </c>
      <c r="C53" t="s">
        <v>55</v>
      </c>
      <c r="D53" t="s">
        <v>35</v>
      </c>
      <c r="F53">
        <v>1</v>
      </c>
      <c r="G53">
        <v>2</v>
      </c>
      <c r="J53">
        <f t="shared" si="0"/>
        <v>168</v>
      </c>
      <c r="L53">
        <f t="shared" si="1"/>
        <v>7.4999999999999997E-2</v>
      </c>
    </row>
    <row r="54" spans="1:12" x14ac:dyDescent="0.25">
      <c r="A54">
        <v>1740</v>
      </c>
      <c r="B54" t="s">
        <v>56</v>
      </c>
      <c r="C54" t="s">
        <v>55</v>
      </c>
      <c r="D54" t="s">
        <v>35</v>
      </c>
      <c r="H54">
        <v>196</v>
      </c>
      <c r="J54">
        <f t="shared" si="0"/>
        <v>196</v>
      </c>
      <c r="L54">
        <f t="shared" si="1"/>
        <v>8.7499999999999994E-2</v>
      </c>
    </row>
    <row r="55" spans="1:12" x14ac:dyDescent="0.25">
      <c r="A55">
        <v>1740</v>
      </c>
      <c r="B55" t="s">
        <v>90</v>
      </c>
      <c r="C55" t="s">
        <v>55</v>
      </c>
      <c r="D55" t="s">
        <v>35</v>
      </c>
      <c r="H55">
        <v>6</v>
      </c>
      <c r="J55">
        <f t="shared" si="0"/>
        <v>6</v>
      </c>
      <c r="L55">
        <f t="shared" si="1"/>
        <v>2.6785714285714286E-3</v>
      </c>
    </row>
    <row r="56" spans="1:12" x14ac:dyDescent="0.25">
      <c r="A56">
        <v>1740</v>
      </c>
      <c r="B56" t="s">
        <v>20</v>
      </c>
      <c r="C56" t="s">
        <v>55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1740</v>
      </c>
      <c r="B57" t="s">
        <v>21</v>
      </c>
      <c r="C57" t="s">
        <v>55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1740</v>
      </c>
      <c r="B58" t="s">
        <v>95</v>
      </c>
      <c r="C58" t="s">
        <v>55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1740</v>
      </c>
      <c r="B59" t="s">
        <v>22</v>
      </c>
      <c r="C59" t="s">
        <v>55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1740</v>
      </c>
      <c r="B60" t="s">
        <v>63</v>
      </c>
      <c r="C60" t="s">
        <v>55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1740</v>
      </c>
      <c r="B61" t="s">
        <v>96</v>
      </c>
      <c r="C61" t="s">
        <v>55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1740</v>
      </c>
      <c r="B62" t="s">
        <v>64</v>
      </c>
      <c r="C62" t="s">
        <v>55</v>
      </c>
      <c r="D62" t="s">
        <v>35</v>
      </c>
      <c r="E62">
        <v>6</v>
      </c>
      <c r="G62">
        <v>1</v>
      </c>
      <c r="H62">
        <v>15</v>
      </c>
      <c r="J62">
        <f t="shared" si="0"/>
        <v>13483</v>
      </c>
      <c r="L62">
        <f t="shared" si="1"/>
        <v>6.019196428571429</v>
      </c>
    </row>
    <row r="63" spans="1:12" x14ac:dyDescent="0.25">
      <c r="A63">
        <v>1740</v>
      </c>
      <c r="B63" t="s">
        <v>65</v>
      </c>
      <c r="C63" t="s">
        <v>55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1740</v>
      </c>
      <c r="B64" t="s">
        <v>66</v>
      </c>
      <c r="C64" t="s">
        <v>55</v>
      </c>
      <c r="D64" t="s">
        <v>35</v>
      </c>
      <c r="E64">
        <v>39</v>
      </c>
      <c r="J64">
        <f t="shared" si="0"/>
        <v>87360</v>
      </c>
      <c r="L64">
        <f t="shared" si="1"/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2"/>
  <sheetViews>
    <sheetView workbookViewId="0">
      <pane ySplit="1" topLeftCell="A36" activePane="bottomLeft" state="frozen"/>
      <selection pane="bottomLeft" activeCell="H69" sqref="H6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1740</v>
      </c>
      <c r="B2" t="s">
        <v>57</v>
      </c>
      <c r="C2" t="s">
        <v>58</v>
      </c>
      <c r="D2" t="s">
        <v>33</v>
      </c>
      <c r="J2">
        <f t="shared" ref="J2:J69" si="0">(E2*2240)+(F2*112)+(G2*28)+H2</f>
        <v>0</v>
      </c>
      <c r="L2">
        <f t="shared" ref="L2:L7" si="1">J2/2240</f>
        <v>0</v>
      </c>
    </row>
    <row r="3" spans="1:12" x14ac:dyDescent="0.25">
      <c r="A3">
        <v>1740</v>
      </c>
      <c r="B3" t="s">
        <v>59</v>
      </c>
      <c r="C3" t="s">
        <v>58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1740</v>
      </c>
      <c r="B4" t="s">
        <v>38</v>
      </c>
      <c r="C4" t="s">
        <v>58</v>
      </c>
      <c r="D4" t="s">
        <v>33</v>
      </c>
      <c r="H4">
        <v>45380</v>
      </c>
      <c r="J4">
        <f t="shared" si="0"/>
        <v>45380</v>
      </c>
      <c r="L4">
        <f t="shared" si="1"/>
        <v>20.258928571428573</v>
      </c>
    </row>
    <row r="5" spans="1:12" x14ac:dyDescent="0.25">
      <c r="A5">
        <v>1740</v>
      </c>
      <c r="B5" t="s">
        <v>4</v>
      </c>
      <c r="C5" t="s">
        <v>58</v>
      </c>
      <c r="D5" t="s">
        <v>33</v>
      </c>
      <c r="F5">
        <v>40</v>
      </c>
      <c r="J5">
        <f t="shared" si="0"/>
        <v>4480</v>
      </c>
      <c r="L5">
        <f t="shared" si="1"/>
        <v>2</v>
      </c>
    </row>
    <row r="6" spans="1:12" x14ac:dyDescent="0.25">
      <c r="A6">
        <v>1740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1740</v>
      </c>
      <c r="B7" t="s">
        <v>97</v>
      </c>
      <c r="C7" t="s">
        <v>58</v>
      </c>
      <c r="D7" t="s">
        <v>33</v>
      </c>
      <c r="H7">
        <v>2357</v>
      </c>
      <c r="J7">
        <f t="shared" si="0"/>
        <v>2357</v>
      </c>
      <c r="L7">
        <f t="shared" si="1"/>
        <v>1.0522321428571428</v>
      </c>
    </row>
    <row r="8" spans="1:12" x14ac:dyDescent="0.25">
      <c r="A8">
        <v>1740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ref="L8" si="2">J8/2240</f>
        <v>0</v>
      </c>
    </row>
    <row r="9" spans="1:12" x14ac:dyDescent="0.25">
      <c r="A9">
        <v>1740</v>
      </c>
      <c r="B9" t="s">
        <v>5</v>
      </c>
      <c r="C9" t="s">
        <v>58</v>
      </c>
      <c r="D9" t="s">
        <v>33</v>
      </c>
      <c r="F9">
        <v>92</v>
      </c>
      <c r="G9">
        <v>3</v>
      </c>
      <c r="H9">
        <v>14</v>
      </c>
      <c r="J9">
        <f t="shared" si="0"/>
        <v>10402</v>
      </c>
      <c r="L9">
        <f t="shared" ref="L9:L76" si="3">J9/2240</f>
        <v>4.6437499999999998</v>
      </c>
    </row>
    <row r="10" spans="1:12" x14ac:dyDescent="0.25">
      <c r="A10">
        <v>1740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3"/>
        <v>0</v>
      </c>
    </row>
    <row r="11" spans="1:12" x14ac:dyDescent="0.25">
      <c r="A11">
        <v>1740</v>
      </c>
      <c r="B11" t="s">
        <v>6</v>
      </c>
      <c r="C11" t="s">
        <v>58</v>
      </c>
      <c r="D11" t="s">
        <v>33</v>
      </c>
      <c r="F11">
        <v>85180</v>
      </c>
      <c r="J11">
        <f t="shared" si="0"/>
        <v>9540160</v>
      </c>
      <c r="L11">
        <f t="shared" si="3"/>
        <v>4259</v>
      </c>
    </row>
    <row r="12" spans="1:12" x14ac:dyDescent="0.25">
      <c r="A12">
        <v>1740</v>
      </c>
      <c r="B12" t="s">
        <v>62</v>
      </c>
      <c r="C12" t="s">
        <v>58</v>
      </c>
      <c r="D12" t="s">
        <v>33</v>
      </c>
      <c r="H12">
        <v>880</v>
      </c>
      <c r="J12">
        <f t="shared" si="0"/>
        <v>880</v>
      </c>
      <c r="L12">
        <f t="shared" si="3"/>
        <v>0.39285714285714285</v>
      </c>
    </row>
    <row r="13" spans="1:12" x14ac:dyDescent="0.25">
      <c r="A13">
        <v>1740</v>
      </c>
      <c r="B13" t="s">
        <v>40</v>
      </c>
      <c r="C13" t="s">
        <v>58</v>
      </c>
      <c r="D13" t="s">
        <v>33</v>
      </c>
      <c r="J13">
        <f t="shared" si="0"/>
        <v>0</v>
      </c>
      <c r="L13">
        <f t="shared" si="3"/>
        <v>0</v>
      </c>
    </row>
    <row r="14" spans="1:12" x14ac:dyDescent="0.25">
      <c r="A14">
        <v>1740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3"/>
        <v>0</v>
      </c>
    </row>
    <row r="15" spans="1:12" x14ac:dyDescent="0.25">
      <c r="A15">
        <v>1740</v>
      </c>
      <c r="B15" t="s">
        <v>8</v>
      </c>
      <c r="C15" t="s">
        <v>58</v>
      </c>
      <c r="D15" t="s">
        <v>33</v>
      </c>
      <c r="F15">
        <v>82</v>
      </c>
      <c r="G15">
        <v>3</v>
      </c>
      <c r="H15">
        <v>7</v>
      </c>
      <c r="J15">
        <f t="shared" si="0"/>
        <v>9275</v>
      </c>
      <c r="L15">
        <f t="shared" si="3"/>
        <v>4.140625</v>
      </c>
    </row>
    <row r="16" spans="1:12" x14ac:dyDescent="0.25">
      <c r="A16">
        <v>1740</v>
      </c>
      <c r="B16" t="s">
        <v>42</v>
      </c>
      <c r="C16" t="s">
        <v>58</v>
      </c>
      <c r="D16" t="s">
        <v>33</v>
      </c>
      <c r="J16">
        <f t="shared" si="0"/>
        <v>0</v>
      </c>
      <c r="L16">
        <f t="shared" si="3"/>
        <v>0</v>
      </c>
    </row>
    <row r="17" spans="1:12" x14ac:dyDescent="0.25">
      <c r="A17">
        <v>1740</v>
      </c>
      <c r="B17" t="s">
        <v>80</v>
      </c>
      <c r="C17" t="s">
        <v>58</v>
      </c>
      <c r="D17" t="s">
        <v>33</v>
      </c>
      <c r="F17">
        <v>6</v>
      </c>
      <c r="G17">
        <v>3</v>
      </c>
      <c r="H17">
        <v>22</v>
      </c>
      <c r="J17">
        <f t="shared" si="0"/>
        <v>778</v>
      </c>
      <c r="L17">
        <f t="shared" si="3"/>
        <v>0.34732142857142856</v>
      </c>
    </row>
    <row r="18" spans="1:12" x14ac:dyDescent="0.25">
      <c r="A18">
        <v>1740</v>
      </c>
      <c r="B18" t="s">
        <v>81</v>
      </c>
      <c r="C18" t="s">
        <v>58</v>
      </c>
      <c r="D18" t="s">
        <v>33</v>
      </c>
      <c r="H18">
        <v>308</v>
      </c>
      <c r="J18">
        <f t="shared" si="0"/>
        <v>308</v>
      </c>
      <c r="L18">
        <f t="shared" si="3"/>
        <v>0.13750000000000001</v>
      </c>
    </row>
    <row r="19" spans="1:12" x14ac:dyDescent="0.25">
      <c r="A19">
        <v>1740</v>
      </c>
      <c r="B19" t="s">
        <v>9</v>
      </c>
      <c r="C19" t="s">
        <v>58</v>
      </c>
      <c r="D19" t="s">
        <v>33</v>
      </c>
      <c r="H19">
        <f>200*129</f>
        <v>25800</v>
      </c>
      <c r="I19" t="s">
        <v>115</v>
      </c>
      <c r="J19">
        <f t="shared" si="0"/>
        <v>25800</v>
      </c>
      <c r="L19">
        <f t="shared" si="3"/>
        <v>11.517857142857142</v>
      </c>
    </row>
    <row r="20" spans="1:12" x14ac:dyDescent="0.25">
      <c r="A20">
        <v>1740</v>
      </c>
      <c r="B20" t="s">
        <v>10</v>
      </c>
      <c r="C20" t="s">
        <v>58</v>
      </c>
      <c r="D20" t="s">
        <v>33</v>
      </c>
      <c r="F20">
        <v>3141</v>
      </c>
      <c r="G20">
        <v>2</v>
      </c>
      <c r="H20">
        <v>25</v>
      </c>
      <c r="J20">
        <f t="shared" si="0"/>
        <v>351873</v>
      </c>
      <c r="L20">
        <f t="shared" si="3"/>
        <v>157.08616071428571</v>
      </c>
    </row>
    <row r="21" spans="1:12" x14ac:dyDescent="0.25">
      <c r="A21">
        <v>1740</v>
      </c>
      <c r="B21" t="s">
        <v>11</v>
      </c>
      <c r="C21" t="s">
        <v>58</v>
      </c>
      <c r="D21" t="s">
        <v>33</v>
      </c>
      <c r="F21">
        <v>578</v>
      </c>
      <c r="G21">
        <v>3</v>
      </c>
      <c r="H21">
        <v>22</v>
      </c>
      <c r="J21">
        <f t="shared" si="0"/>
        <v>64842</v>
      </c>
      <c r="L21">
        <f t="shared" si="3"/>
        <v>28.947321428571428</v>
      </c>
    </row>
    <row r="22" spans="1:12" x14ac:dyDescent="0.25">
      <c r="A22">
        <v>1740</v>
      </c>
      <c r="B22" t="s">
        <v>41</v>
      </c>
      <c r="C22" t="s">
        <v>58</v>
      </c>
      <c r="D22" t="s">
        <v>33</v>
      </c>
      <c r="H22">
        <v>2318</v>
      </c>
      <c r="J22">
        <f t="shared" si="0"/>
        <v>2318</v>
      </c>
      <c r="L22">
        <f t="shared" si="3"/>
        <v>1.0348214285714286</v>
      </c>
    </row>
    <row r="23" spans="1:12" x14ac:dyDescent="0.25">
      <c r="A23">
        <v>1740</v>
      </c>
      <c r="B23" t="s">
        <v>46</v>
      </c>
      <c r="C23" t="s">
        <v>58</v>
      </c>
      <c r="D23" t="s">
        <v>33</v>
      </c>
      <c r="J23">
        <f t="shared" si="0"/>
        <v>0</v>
      </c>
      <c r="L23">
        <f t="shared" si="3"/>
        <v>0</v>
      </c>
    </row>
    <row r="24" spans="1:12" x14ac:dyDescent="0.25">
      <c r="A24">
        <v>1740</v>
      </c>
      <c r="B24" t="s">
        <v>12</v>
      </c>
      <c r="C24" t="s">
        <v>58</v>
      </c>
      <c r="D24" t="s">
        <v>33</v>
      </c>
      <c r="H24">
        <v>420</v>
      </c>
      <c r="J24">
        <f t="shared" si="0"/>
        <v>420</v>
      </c>
      <c r="L24">
        <f t="shared" si="3"/>
        <v>0.1875</v>
      </c>
    </row>
    <row r="25" spans="1:12" x14ac:dyDescent="0.25">
      <c r="A25">
        <v>1740</v>
      </c>
      <c r="B25" t="s">
        <v>34</v>
      </c>
      <c r="C25" t="s">
        <v>58</v>
      </c>
      <c r="D25" t="s">
        <v>33</v>
      </c>
      <c r="J25">
        <f t="shared" si="0"/>
        <v>0</v>
      </c>
      <c r="L25">
        <f t="shared" si="3"/>
        <v>0</v>
      </c>
    </row>
    <row r="26" spans="1:12" x14ac:dyDescent="0.25">
      <c r="A26">
        <v>1740</v>
      </c>
      <c r="B26" t="s">
        <v>13</v>
      </c>
      <c r="C26" t="s">
        <v>58</v>
      </c>
      <c r="D26" t="s">
        <v>33</v>
      </c>
      <c r="J26">
        <f t="shared" si="0"/>
        <v>0</v>
      </c>
      <c r="L26">
        <f t="shared" si="3"/>
        <v>0</v>
      </c>
    </row>
    <row r="27" spans="1:12" x14ac:dyDescent="0.25">
      <c r="A27">
        <v>1740</v>
      </c>
      <c r="B27" t="s">
        <v>14</v>
      </c>
      <c r="C27" t="s">
        <v>58</v>
      </c>
      <c r="D27" t="s">
        <v>33</v>
      </c>
      <c r="H27">
        <v>2281</v>
      </c>
      <c r="I27" t="s">
        <v>110</v>
      </c>
      <c r="J27">
        <f t="shared" si="0"/>
        <v>2281</v>
      </c>
      <c r="L27">
        <f t="shared" si="3"/>
        <v>1.0183035714285715</v>
      </c>
    </row>
    <row r="28" spans="1:12" x14ac:dyDescent="0.25">
      <c r="A28">
        <v>1740</v>
      </c>
      <c r="B28" t="s">
        <v>23</v>
      </c>
      <c r="C28" t="s">
        <v>58</v>
      </c>
      <c r="D28" t="s">
        <v>33</v>
      </c>
      <c r="J28">
        <f t="shared" si="0"/>
        <v>0</v>
      </c>
      <c r="L28">
        <f t="shared" si="3"/>
        <v>0</v>
      </c>
    </row>
    <row r="29" spans="1:12" x14ac:dyDescent="0.25">
      <c r="A29">
        <v>1740</v>
      </c>
      <c r="B29" t="s">
        <v>27</v>
      </c>
      <c r="C29" t="s">
        <v>58</v>
      </c>
      <c r="D29" t="s">
        <v>33</v>
      </c>
      <c r="H29">
        <v>149888</v>
      </c>
      <c r="I29" t="s">
        <v>113</v>
      </c>
      <c r="J29">
        <f t="shared" si="0"/>
        <v>149888</v>
      </c>
      <c r="L29">
        <f t="shared" si="3"/>
        <v>66.914285714285711</v>
      </c>
    </row>
    <row r="30" spans="1:12" x14ac:dyDescent="0.25">
      <c r="A30">
        <v>1740</v>
      </c>
      <c r="B30" t="s">
        <v>15</v>
      </c>
      <c r="C30" t="s">
        <v>58</v>
      </c>
      <c r="D30" t="s">
        <v>33</v>
      </c>
      <c r="J30">
        <f t="shared" si="0"/>
        <v>0</v>
      </c>
      <c r="L30">
        <f t="shared" si="3"/>
        <v>0</v>
      </c>
    </row>
    <row r="31" spans="1:12" x14ac:dyDescent="0.25">
      <c r="A31">
        <v>1740</v>
      </c>
      <c r="B31" t="s">
        <v>44</v>
      </c>
      <c r="C31" t="s">
        <v>58</v>
      </c>
      <c r="D31" t="s">
        <v>33</v>
      </c>
      <c r="J31">
        <f t="shared" si="0"/>
        <v>0</v>
      </c>
      <c r="L31">
        <f t="shared" si="3"/>
        <v>0</v>
      </c>
    </row>
    <row r="32" spans="1:12" x14ac:dyDescent="0.25">
      <c r="A32">
        <v>1740</v>
      </c>
      <c r="B32" t="s">
        <v>49</v>
      </c>
      <c r="C32" t="s">
        <v>58</v>
      </c>
      <c r="D32" t="s">
        <v>33</v>
      </c>
      <c r="H32">
        <v>420</v>
      </c>
      <c r="I32" t="s">
        <v>111</v>
      </c>
      <c r="J32">
        <f t="shared" si="0"/>
        <v>420</v>
      </c>
      <c r="L32">
        <f t="shared" si="3"/>
        <v>0.1875</v>
      </c>
    </row>
    <row r="33" spans="1:12" x14ac:dyDescent="0.25">
      <c r="A33">
        <v>1740</v>
      </c>
      <c r="B33" t="s">
        <v>16</v>
      </c>
      <c r="C33" t="s">
        <v>58</v>
      </c>
      <c r="D33" t="s">
        <v>33</v>
      </c>
      <c r="J33">
        <f t="shared" si="0"/>
        <v>0</v>
      </c>
      <c r="L33">
        <f t="shared" si="3"/>
        <v>0</v>
      </c>
    </row>
    <row r="34" spans="1:12" x14ac:dyDescent="0.25">
      <c r="A34">
        <v>1740</v>
      </c>
      <c r="B34" t="s">
        <v>100</v>
      </c>
      <c r="C34" t="s">
        <v>58</v>
      </c>
      <c r="D34" t="s">
        <v>33</v>
      </c>
      <c r="H34">
        <v>21315</v>
      </c>
      <c r="I34" t="s">
        <v>114</v>
      </c>
      <c r="J34">
        <f t="shared" si="0"/>
        <v>21315</v>
      </c>
      <c r="L34">
        <f t="shared" si="3"/>
        <v>9.515625</v>
      </c>
    </row>
    <row r="35" spans="1:12" x14ac:dyDescent="0.25">
      <c r="A35">
        <v>1740</v>
      </c>
      <c r="B35" t="s">
        <v>17</v>
      </c>
      <c r="C35" t="s">
        <v>58</v>
      </c>
      <c r="D35" t="s">
        <v>33</v>
      </c>
      <c r="J35">
        <f t="shared" si="0"/>
        <v>0</v>
      </c>
      <c r="L35">
        <f t="shared" si="3"/>
        <v>0</v>
      </c>
    </row>
    <row r="36" spans="1:12" x14ac:dyDescent="0.25">
      <c r="A36">
        <v>1740</v>
      </c>
      <c r="B36" t="s">
        <v>18</v>
      </c>
      <c r="C36" t="s">
        <v>58</v>
      </c>
      <c r="D36" t="s">
        <v>33</v>
      </c>
      <c r="H36">
        <v>427740</v>
      </c>
      <c r="I36" t="s">
        <v>112</v>
      </c>
      <c r="J36">
        <f t="shared" si="0"/>
        <v>427740</v>
      </c>
      <c r="L36">
        <f t="shared" si="3"/>
        <v>190.95535714285714</v>
      </c>
    </row>
    <row r="37" spans="1:12" x14ac:dyDescent="0.25">
      <c r="A37">
        <v>1740</v>
      </c>
      <c r="B37" t="s">
        <v>26</v>
      </c>
      <c r="C37" t="s">
        <v>58</v>
      </c>
      <c r="D37" t="s">
        <v>33</v>
      </c>
      <c r="J37">
        <f t="shared" si="0"/>
        <v>0</v>
      </c>
      <c r="L37">
        <f t="shared" si="3"/>
        <v>0</v>
      </c>
    </row>
    <row r="38" spans="1:12" x14ac:dyDescent="0.25">
      <c r="A38">
        <v>1740</v>
      </c>
      <c r="B38" t="s">
        <v>19</v>
      </c>
      <c r="C38" t="s">
        <v>58</v>
      </c>
      <c r="D38" t="s">
        <v>33</v>
      </c>
      <c r="J38">
        <f t="shared" si="0"/>
        <v>0</v>
      </c>
      <c r="L38">
        <f t="shared" si="3"/>
        <v>0</v>
      </c>
    </row>
    <row r="39" spans="1:12" x14ac:dyDescent="0.25">
      <c r="A39">
        <v>1740</v>
      </c>
      <c r="B39" t="s">
        <v>108</v>
      </c>
      <c r="C39" t="s">
        <v>58</v>
      </c>
      <c r="D39" t="s">
        <v>33</v>
      </c>
      <c r="H39">
        <v>400</v>
      </c>
      <c r="I39" t="s">
        <v>109</v>
      </c>
      <c r="J39">
        <f t="shared" si="0"/>
        <v>400</v>
      </c>
      <c r="L39">
        <f t="shared" si="3"/>
        <v>0.17857142857142858</v>
      </c>
    </row>
    <row r="40" spans="1:12" x14ac:dyDescent="0.25">
      <c r="A40">
        <v>1740</v>
      </c>
      <c r="B40" t="s">
        <v>47</v>
      </c>
      <c r="C40" t="s">
        <v>58</v>
      </c>
      <c r="D40" t="s">
        <v>33</v>
      </c>
      <c r="H40">
        <v>7841</v>
      </c>
      <c r="J40">
        <f t="shared" si="0"/>
        <v>7841</v>
      </c>
      <c r="L40">
        <f t="shared" si="3"/>
        <v>3.5004464285714287</v>
      </c>
    </row>
    <row r="41" spans="1:12" x14ac:dyDescent="0.25">
      <c r="A41">
        <v>1740</v>
      </c>
      <c r="B41" t="s">
        <v>56</v>
      </c>
      <c r="C41" t="s">
        <v>58</v>
      </c>
      <c r="D41" t="s">
        <v>33</v>
      </c>
      <c r="H41">
        <v>2038</v>
      </c>
      <c r="J41">
        <f t="shared" si="0"/>
        <v>2038</v>
      </c>
      <c r="L41">
        <f t="shared" si="3"/>
        <v>0.90982142857142856</v>
      </c>
    </row>
    <row r="42" spans="1:12" x14ac:dyDescent="0.25">
      <c r="A42">
        <v>1740</v>
      </c>
      <c r="B42" t="s">
        <v>90</v>
      </c>
      <c r="C42" t="s">
        <v>58</v>
      </c>
      <c r="D42" t="s">
        <v>33</v>
      </c>
      <c r="H42">
        <v>1099</v>
      </c>
      <c r="J42">
        <f t="shared" si="0"/>
        <v>1099</v>
      </c>
      <c r="L42">
        <f t="shared" si="3"/>
        <v>0.49062499999999998</v>
      </c>
    </row>
    <row r="43" spans="1:12" x14ac:dyDescent="0.25">
      <c r="A43">
        <v>1740</v>
      </c>
      <c r="B43" t="s">
        <v>20</v>
      </c>
      <c r="C43" t="s">
        <v>58</v>
      </c>
      <c r="D43" t="s">
        <v>33</v>
      </c>
      <c r="J43">
        <f t="shared" si="0"/>
        <v>0</v>
      </c>
      <c r="L43">
        <f t="shared" si="3"/>
        <v>0</v>
      </c>
    </row>
    <row r="44" spans="1:12" x14ac:dyDescent="0.25">
      <c r="A44">
        <v>1740</v>
      </c>
      <c r="B44" t="s">
        <v>21</v>
      </c>
      <c r="C44" t="s">
        <v>58</v>
      </c>
      <c r="D44" t="s">
        <v>33</v>
      </c>
      <c r="J44">
        <f t="shared" si="0"/>
        <v>0</v>
      </c>
      <c r="L44">
        <f t="shared" si="3"/>
        <v>0</v>
      </c>
    </row>
    <row r="45" spans="1:12" x14ac:dyDescent="0.25">
      <c r="A45">
        <v>1740</v>
      </c>
      <c r="B45" t="s">
        <v>22</v>
      </c>
      <c r="C45" t="s">
        <v>58</v>
      </c>
      <c r="D45" t="s">
        <v>33</v>
      </c>
      <c r="J45">
        <f t="shared" si="0"/>
        <v>0</v>
      </c>
      <c r="L45">
        <f t="shared" si="3"/>
        <v>0</v>
      </c>
    </row>
    <row r="46" spans="1:12" x14ac:dyDescent="0.25">
      <c r="A46">
        <v>1740</v>
      </c>
      <c r="B46" t="s">
        <v>63</v>
      </c>
      <c r="C46" t="s">
        <v>58</v>
      </c>
      <c r="D46" t="s">
        <v>33</v>
      </c>
      <c r="J46">
        <f t="shared" si="0"/>
        <v>0</v>
      </c>
      <c r="L46">
        <f t="shared" si="3"/>
        <v>0</v>
      </c>
    </row>
    <row r="47" spans="1:12" x14ac:dyDescent="0.25">
      <c r="A47">
        <v>1740</v>
      </c>
      <c r="B47" t="s">
        <v>64</v>
      </c>
      <c r="C47" t="s">
        <v>58</v>
      </c>
      <c r="D47" t="s">
        <v>33</v>
      </c>
      <c r="E47">
        <v>48</v>
      </c>
      <c r="F47">
        <v>13</v>
      </c>
      <c r="G47">
        <v>3</v>
      </c>
      <c r="J47">
        <f t="shared" si="0"/>
        <v>109060</v>
      </c>
      <c r="L47">
        <f t="shared" si="3"/>
        <v>48.6875</v>
      </c>
    </row>
    <row r="48" spans="1:12" x14ac:dyDescent="0.25">
      <c r="A48">
        <v>1740</v>
      </c>
      <c r="B48" t="s">
        <v>65</v>
      </c>
      <c r="C48" t="s">
        <v>58</v>
      </c>
      <c r="D48" t="s">
        <v>33</v>
      </c>
      <c r="E48">
        <v>7</v>
      </c>
      <c r="J48">
        <f t="shared" si="0"/>
        <v>15680</v>
      </c>
      <c r="L48">
        <f t="shared" si="3"/>
        <v>7</v>
      </c>
    </row>
    <row r="49" spans="1:12" x14ac:dyDescent="0.25">
      <c r="A49">
        <v>1740</v>
      </c>
      <c r="B49" t="s">
        <v>73</v>
      </c>
      <c r="C49" t="s">
        <v>58</v>
      </c>
      <c r="D49" t="s">
        <v>33</v>
      </c>
      <c r="J49">
        <f t="shared" si="0"/>
        <v>0</v>
      </c>
      <c r="L49">
        <f t="shared" si="3"/>
        <v>0</v>
      </c>
    </row>
    <row r="50" spans="1:12" x14ac:dyDescent="0.25">
      <c r="A50">
        <v>1740</v>
      </c>
      <c r="B50" t="s">
        <v>66</v>
      </c>
      <c r="C50" t="s">
        <v>58</v>
      </c>
      <c r="D50" t="s">
        <v>33</v>
      </c>
      <c r="J50">
        <f t="shared" si="0"/>
        <v>0</v>
      </c>
      <c r="L50">
        <f t="shared" si="3"/>
        <v>0</v>
      </c>
    </row>
    <row r="51" spans="1:12" x14ac:dyDescent="0.25">
      <c r="A51">
        <v>1740</v>
      </c>
      <c r="B51" t="s">
        <v>67</v>
      </c>
      <c r="C51" t="s">
        <v>58</v>
      </c>
      <c r="D51" t="s">
        <v>33</v>
      </c>
      <c r="J51">
        <f t="shared" si="0"/>
        <v>0</v>
      </c>
      <c r="L51">
        <f t="shared" si="3"/>
        <v>0</v>
      </c>
    </row>
    <row r="52" spans="1:12" x14ac:dyDescent="0.25">
      <c r="A52">
        <v>1740</v>
      </c>
      <c r="B52" t="s">
        <v>57</v>
      </c>
      <c r="C52" t="s">
        <v>58</v>
      </c>
      <c r="D52" t="s">
        <v>35</v>
      </c>
      <c r="J52">
        <f t="shared" si="0"/>
        <v>0</v>
      </c>
      <c r="L52">
        <f t="shared" si="3"/>
        <v>0</v>
      </c>
    </row>
    <row r="53" spans="1:12" x14ac:dyDescent="0.25">
      <c r="A53">
        <v>1740</v>
      </c>
      <c r="B53" t="s">
        <v>59</v>
      </c>
      <c r="C53" t="s">
        <v>58</v>
      </c>
      <c r="D53" t="s">
        <v>35</v>
      </c>
      <c r="J53">
        <f t="shared" si="0"/>
        <v>0</v>
      </c>
      <c r="L53">
        <f t="shared" si="3"/>
        <v>0</v>
      </c>
    </row>
    <row r="54" spans="1:12" x14ac:dyDescent="0.25">
      <c r="A54">
        <v>1740</v>
      </c>
      <c r="B54" t="s">
        <v>38</v>
      </c>
      <c r="C54" t="s">
        <v>58</v>
      </c>
      <c r="D54" t="s">
        <v>35</v>
      </c>
      <c r="H54">
        <v>727</v>
      </c>
      <c r="J54">
        <f t="shared" si="0"/>
        <v>727</v>
      </c>
      <c r="L54">
        <f t="shared" si="3"/>
        <v>0.32455357142857144</v>
      </c>
    </row>
    <row r="55" spans="1:12" x14ac:dyDescent="0.25">
      <c r="A55">
        <v>1740</v>
      </c>
      <c r="B55" t="s">
        <v>4</v>
      </c>
      <c r="C55" t="s">
        <v>58</v>
      </c>
      <c r="D55" t="s">
        <v>35</v>
      </c>
      <c r="J55">
        <f t="shared" si="0"/>
        <v>0</v>
      </c>
      <c r="L55">
        <f t="shared" si="3"/>
        <v>0</v>
      </c>
    </row>
    <row r="56" spans="1:12" x14ac:dyDescent="0.25">
      <c r="A56">
        <v>1740</v>
      </c>
      <c r="B56" t="s">
        <v>60</v>
      </c>
      <c r="C56" t="s">
        <v>58</v>
      </c>
      <c r="D56" t="s">
        <v>35</v>
      </c>
      <c r="J56">
        <f t="shared" si="0"/>
        <v>0</v>
      </c>
      <c r="L56">
        <f t="shared" si="3"/>
        <v>0</v>
      </c>
    </row>
    <row r="57" spans="1:12" x14ac:dyDescent="0.25">
      <c r="A57">
        <v>1740</v>
      </c>
      <c r="B57" t="s">
        <v>97</v>
      </c>
      <c r="C57" t="s">
        <v>58</v>
      </c>
      <c r="D57" t="s">
        <v>35</v>
      </c>
      <c r="J57">
        <f t="shared" si="0"/>
        <v>0</v>
      </c>
      <c r="L57">
        <f t="shared" si="3"/>
        <v>0</v>
      </c>
    </row>
    <row r="58" spans="1:12" x14ac:dyDescent="0.25">
      <c r="A58">
        <v>1740</v>
      </c>
      <c r="B58" t="s">
        <v>45</v>
      </c>
      <c r="C58" t="s">
        <v>58</v>
      </c>
      <c r="D58" t="s">
        <v>35</v>
      </c>
      <c r="J58">
        <f t="shared" si="0"/>
        <v>0</v>
      </c>
      <c r="L58">
        <f t="shared" si="3"/>
        <v>0</v>
      </c>
    </row>
    <row r="59" spans="1:12" x14ac:dyDescent="0.25">
      <c r="A59">
        <v>1740</v>
      </c>
      <c r="B59" t="s">
        <v>5</v>
      </c>
      <c r="C59" t="s">
        <v>58</v>
      </c>
      <c r="D59" t="s">
        <v>35</v>
      </c>
      <c r="F59">
        <v>13</v>
      </c>
      <c r="G59">
        <v>3</v>
      </c>
      <c r="H59">
        <v>14</v>
      </c>
      <c r="J59">
        <f t="shared" si="0"/>
        <v>1554</v>
      </c>
      <c r="L59">
        <f t="shared" si="3"/>
        <v>0.69374999999999998</v>
      </c>
    </row>
    <row r="60" spans="1:12" x14ac:dyDescent="0.25">
      <c r="A60">
        <v>1740</v>
      </c>
      <c r="B60" t="s">
        <v>61</v>
      </c>
      <c r="C60" t="s">
        <v>58</v>
      </c>
      <c r="D60" t="s">
        <v>35</v>
      </c>
      <c r="J60">
        <f t="shared" si="0"/>
        <v>0</v>
      </c>
      <c r="L60">
        <f t="shared" si="3"/>
        <v>0</v>
      </c>
    </row>
    <row r="61" spans="1:12" x14ac:dyDescent="0.25">
      <c r="A61">
        <v>1740</v>
      </c>
      <c r="B61" t="s">
        <v>6</v>
      </c>
      <c r="C61" t="s">
        <v>58</v>
      </c>
      <c r="D61" t="s">
        <v>35</v>
      </c>
      <c r="F61">
        <v>54991</v>
      </c>
      <c r="G61">
        <v>3</v>
      </c>
      <c r="H61">
        <v>22</v>
      </c>
      <c r="J61">
        <f t="shared" si="0"/>
        <v>6159098</v>
      </c>
      <c r="L61">
        <f t="shared" si="3"/>
        <v>2749.5973214285714</v>
      </c>
    </row>
    <row r="62" spans="1:12" x14ac:dyDescent="0.25">
      <c r="A62">
        <v>1740</v>
      </c>
      <c r="B62" t="s">
        <v>62</v>
      </c>
      <c r="C62" t="s">
        <v>58</v>
      </c>
      <c r="D62" t="s">
        <v>35</v>
      </c>
      <c r="J62">
        <f t="shared" si="0"/>
        <v>0</v>
      </c>
      <c r="L62">
        <f t="shared" si="3"/>
        <v>0</v>
      </c>
    </row>
    <row r="63" spans="1:12" x14ac:dyDescent="0.25">
      <c r="A63">
        <v>1740</v>
      </c>
      <c r="B63" t="s">
        <v>40</v>
      </c>
      <c r="C63" t="s">
        <v>58</v>
      </c>
      <c r="D63" t="s">
        <v>35</v>
      </c>
      <c r="J63">
        <f t="shared" si="0"/>
        <v>0</v>
      </c>
      <c r="L63">
        <f t="shared" si="3"/>
        <v>0</v>
      </c>
    </row>
    <row r="64" spans="1:12" x14ac:dyDescent="0.25">
      <c r="A64">
        <v>1740</v>
      </c>
      <c r="B64" t="s">
        <v>39</v>
      </c>
      <c r="C64" t="s">
        <v>58</v>
      </c>
      <c r="D64" t="s">
        <v>35</v>
      </c>
      <c r="J64">
        <f t="shared" si="0"/>
        <v>0</v>
      </c>
      <c r="L64">
        <f t="shared" si="3"/>
        <v>0</v>
      </c>
    </row>
    <row r="65" spans="1:12" x14ac:dyDescent="0.25">
      <c r="A65">
        <v>1740</v>
      </c>
      <c r="B65" t="s">
        <v>8</v>
      </c>
      <c r="C65" t="s">
        <v>58</v>
      </c>
      <c r="D65" t="s">
        <v>35</v>
      </c>
      <c r="J65">
        <f t="shared" si="0"/>
        <v>0</v>
      </c>
      <c r="L65">
        <f t="shared" si="3"/>
        <v>0</v>
      </c>
    </row>
    <row r="66" spans="1:12" x14ac:dyDescent="0.25">
      <c r="A66">
        <v>1740</v>
      </c>
      <c r="B66" t="s">
        <v>42</v>
      </c>
      <c r="C66" t="s">
        <v>58</v>
      </c>
      <c r="D66" t="s">
        <v>35</v>
      </c>
      <c r="J66">
        <f t="shared" si="0"/>
        <v>0</v>
      </c>
      <c r="L66">
        <f t="shared" si="3"/>
        <v>0</v>
      </c>
    </row>
    <row r="67" spans="1:12" x14ac:dyDescent="0.25">
      <c r="A67">
        <v>1740</v>
      </c>
      <c r="B67" t="s">
        <v>80</v>
      </c>
      <c r="C67" t="s">
        <v>58</v>
      </c>
      <c r="D67" t="s">
        <v>35</v>
      </c>
      <c r="G67">
        <v>1</v>
      </c>
      <c r="H67">
        <v>3</v>
      </c>
      <c r="J67">
        <f t="shared" si="0"/>
        <v>31</v>
      </c>
      <c r="L67">
        <f t="shared" si="3"/>
        <v>1.3839285714285714E-2</v>
      </c>
    </row>
    <row r="68" spans="1:12" x14ac:dyDescent="0.25">
      <c r="A68">
        <v>1740</v>
      </c>
      <c r="B68" t="s">
        <v>9</v>
      </c>
      <c r="C68" t="s">
        <v>58</v>
      </c>
      <c r="D68" t="s">
        <v>35</v>
      </c>
      <c r="H68">
        <f>200*1078</f>
        <v>215600</v>
      </c>
      <c r="I68" t="s">
        <v>138</v>
      </c>
      <c r="J68">
        <f t="shared" si="0"/>
        <v>215600</v>
      </c>
      <c r="L68">
        <f t="shared" si="3"/>
        <v>96.25</v>
      </c>
    </row>
    <row r="69" spans="1:12" x14ac:dyDescent="0.25">
      <c r="A69">
        <v>1740</v>
      </c>
      <c r="B69" t="s">
        <v>10</v>
      </c>
      <c r="C69" t="s">
        <v>58</v>
      </c>
      <c r="D69" t="s">
        <v>35</v>
      </c>
      <c r="F69">
        <v>1025</v>
      </c>
      <c r="G69">
        <v>3</v>
      </c>
      <c r="H69">
        <v>23</v>
      </c>
      <c r="J69">
        <f t="shared" si="0"/>
        <v>114907</v>
      </c>
      <c r="L69">
        <f t="shared" si="3"/>
        <v>51.297767857142858</v>
      </c>
    </row>
    <row r="70" spans="1:12" x14ac:dyDescent="0.25">
      <c r="A70">
        <v>1740</v>
      </c>
      <c r="B70" t="s">
        <v>11</v>
      </c>
      <c r="C70" t="s">
        <v>58</v>
      </c>
      <c r="D70" t="s">
        <v>35</v>
      </c>
      <c r="F70">
        <v>395</v>
      </c>
      <c r="G70">
        <v>3</v>
      </c>
      <c r="H70">
        <v>16</v>
      </c>
      <c r="J70">
        <f t="shared" ref="J70:J102" si="4">(E70*2240)+(F70*112)+(G70*28)+H70</f>
        <v>44340</v>
      </c>
      <c r="L70">
        <f t="shared" si="3"/>
        <v>19.794642857142858</v>
      </c>
    </row>
    <row r="71" spans="1:12" x14ac:dyDescent="0.25">
      <c r="A71">
        <v>1740</v>
      </c>
      <c r="B71" t="s">
        <v>41</v>
      </c>
      <c r="C71" t="s">
        <v>58</v>
      </c>
      <c r="D71" t="s">
        <v>35</v>
      </c>
      <c r="J71">
        <f t="shared" si="4"/>
        <v>0</v>
      </c>
      <c r="L71">
        <f t="shared" si="3"/>
        <v>0</v>
      </c>
    </row>
    <row r="72" spans="1:12" x14ac:dyDescent="0.25">
      <c r="A72">
        <v>1740</v>
      </c>
      <c r="B72" t="s">
        <v>82</v>
      </c>
      <c r="C72" t="s">
        <v>58</v>
      </c>
      <c r="D72" t="s">
        <v>35</v>
      </c>
      <c r="H72">
        <v>2684</v>
      </c>
      <c r="J72">
        <f t="shared" si="4"/>
        <v>2684</v>
      </c>
      <c r="L72">
        <f t="shared" si="3"/>
        <v>1.1982142857142857</v>
      </c>
    </row>
    <row r="73" spans="1:12" x14ac:dyDescent="0.25">
      <c r="A73">
        <v>1740</v>
      </c>
      <c r="B73" t="s">
        <v>46</v>
      </c>
      <c r="C73" t="s">
        <v>58</v>
      </c>
      <c r="D73" t="s">
        <v>35</v>
      </c>
      <c r="J73">
        <f t="shared" si="4"/>
        <v>0</v>
      </c>
      <c r="L73">
        <f t="shared" si="3"/>
        <v>0</v>
      </c>
    </row>
    <row r="74" spans="1:12" x14ac:dyDescent="0.25">
      <c r="A74">
        <v>1740</v>
      </c>
      <c r="B74" t="s">
        <v>12</v>
      </c>
      <c r="C74" t="s">
        <v>58</v>
      </c>
      <c r="D74" t="s">
        <v>35</v>
      </c>
      <c r="H74">
        <v>30</v>
      </c>
      <c r="J74">
        <f t="shared" si="4"/>
        <v>30</v>
      </c>
      <c r="L74">
        <f t="shared" si="3"/>
        <v>1.3392857142857142E-2</v>
      </c>
    </row>
    <row r="75" spans="1:12" x14ac:dyDescent="0.25">
      <c r="A75">
        <v>1740</v>
      </c>
      <c r="B75" t="s">
        <v>34</v>
      </c>
      <c r="C75" t="s">
        <v>58</v>
      </c>
      <c r="D75" t="s">
        <v>35</v>
      </c>
      <c r="J75">
        <f t="shared" si="4"/>
        <v>0</v>
      </c>
      <c r="L75">
        <f t="shared" si="3"/>
        <v>0</v>
      </c>
    </row>
    <row r="76" spans="1:12" x14ac:dyDescent="0.25">
      <c r="A76">
        <v>1740</v>
      </c>
      <c r="B76" t="s">
        <v>13</v>
      </c>
      <c r="C76" t="s">
        <v>58</v>
      </c>
      <c r="D76" t="s">
        <v>35</v>
      </c>
      <c r="J76">
        <f t="shared" si="4"/>
        <v>0</v>
      </c>
      <c r="L76">
        <f t="shared" si="3"/>
        <v>0</v>
      </c>
    </row>
    <row r="77" spans="1:12" x14ac:dyDescent="0.25">
      <c r="A77">
        <v>1740</v>
      </c>
      <c r="B77" t="s">
        <v>14</v>
      </c>
      <c r="C77" t="s">
        <v>58</v>
      </c>
      <c r="D77" t="s">
        <v>35</v>
      </c>
      <c r="J77">
        <f t="shared" si="4"/>
        <v>0</v>
      </c>
      <c r="L77">
        <f t="shared" ref="L77:L102" si="5">J77/2240</f>
        <v>0</v>
      </c>
    </row>
    <row r="78" spans="1:12" x14ac:dyDescent="0.25">
      <c r="A78">
        <v>1740</v>
      </c>
      <c r="B78" t="s">
        <v>23</v>
      </c>
      <c r="C78" t="s">
        <v>58</v>
      </c>
      <c r="D78" t="s">
        <v>35</v>
      </c>
      <c r="J78">
        <f t="shared" si="4"/>
        <v>0</v>
      </c>
      <c r="L78">
        <f t="shared" si="5"/>
        <v>0</v>
      </c>
    </row>
    <row r="79" spans="1:12" x14ac:dyDescent="0.25">
      <c r="A79">
        <v>1740</v>
      </c>
      <c r="B79" t="s">
        <v>27</v>
      </c>
      <c r="C79" t="s">
        <v>58</v>
      </c>
      <c r="D79" t="s">
        <v>35</v>
      </c>
      <c r="H79">
        <v>3961</v>
      </c>
      <c r="I79" t="s">
        <v>137</v>
      </c>
      <c r="J79">
        <f t="shared" si="4"/>
        <v>3961</v>
      </c>
      <c r="L79">
        <f t="shared" si="5"/>
        <v>1.7683035714285715</v>
      </c>
    </row>
    <row r="80" spans="1:12" x14ac:dyDescent="0.25">
      <c r="A80">
        <v>1740</v>
      </c>
      <c r="B80" t="s">
        <v>15</v>
      </c>
      <c r="C80" t="s">
        <v>58</v>
      </c>
      <c r="D80" t="s">
        <v>35</v>
      </c>
      <c r="J80">
        <f t="shared" si="4"/>
        <v>0</v>
      </c>
      <c r="L80">
        <f t="shared" si="5"/>
        <v>0</v>
      </c>
    </row>
    <row r="81" spans="1:12" x14ac:dyDescent="0.25">
      <c r="A81">
        <v>1740</v>
      </c>
      <c r="B81" t="s">
        <v>98</v>
      </c>
      <c r="C81" t="s">
        <v>58</v>
      </c>
      <c r="D81" t="s">
        <v>35</v>
      </c>
      <c r="J81">
        <f t="shared" si="4"/>
        <v>0</v>
      </c>
      <c r="L81">
        <f t="shared" si="5"/>
        <v>0</v>
      </c>
    </row>
    <row r="82" spans="1:12" x14ac:dyDescent="0.25">
      <c r="A82">
        <v>1740</v>
      </c>
      <c r="B82" t="s">
        <v>44</v>
      </c>
      <c r="C82" t="s">
        <v>58</v>
      </c>
      <c r="D82" t="s">
        <v>35</v>
      </c>
      <c r="J82">
        <f t="shared" si="4"/>
        <v>0</v>
      </c>
      <c r="L82">
        <f t="shared" si="5"/>
        <v>0</v>
      </c>
    </row>
    <row r="83" spans="1:12" x14ac:dyDescent="0.25">
      <c r="A83">
        <v>1740</v>
      </c>
      <c r="B83" t="s">
        <v>49</v>
      </c>
      <c r="C83" t="s">
        <v>58</v>
      </c>
      <c r="D83" t="s">
        <v>35</v>
      </c>
      <c r="J83">
        <f t="shared" si="4"/>
        <v>0</v>
      </c>
      <c r="L83">
        <f t="shared" si="5"/>
        <v>0</v>
      </c>
    </row>
    <row r="84" spans="1:12" x14ac:dyDescent="0.25">
      <c r="A84">
        <v>1740</v>
      </c>
      <c r="B84" t="s">
        <v>135</v>
      </c>
      <c r="C84" t="s">
        <v>58</v>
      </c>
      <c r="D84" t="s">
        <v>35</v>
      </c>
      <c r="E84">
        <v>7</v>
      </c>
      <c r="F84">
        <v>10</v>
      </c>
      <c r="J84">
        <f t="shared" si="4"/>
        <v>16800</v>
      </c>
      <c r="L84">
        <f t="shared" si="5"/>
        <v>7.5</v>
      </c>
    </row>
    <row r="85" spans="1:12" x14ac:dyDescent="0.25">
      <c r="A85">
        <v>1740</v>
      </c>
      <c r="B85" t="s">
        <v>16</v>
      </c>
      <c r="C85" t="s">
        <v>58</v>
      </c>
      <c r="D85" t="s">
        <v>35</v>
      </c>
      <c r="J85">
        <f t="shared" si="4"/>
        <v>0</v>
      </c>
      <c r="L85">
        <f t="shared" si="5"/>
        <v>0</v>
      </c>
    </row>
    <row r="86" spans="1:12" x14ac:dyDescent="0.25">
      <c r="A86">
        <v>1740</v>
      </c>
      <c r="B86" t="s">
        <v>17</v>
      </c>
      <c r="C86" t="s">
        <v>58</v>
      </c>
      <c r="D86" t="s">
        <v>35</v>
      </c>
      <c r="J86">
        <f t="shared" si="4"/>
        <v>0</v>
      </c>
      <c r="L86">
        <f t="shared" si="5"/>
        <v>0</v>
      </c>
    </row>
    <row r="87" spans="1:12" x14ac:dyDescent="0.25">
      <c r="A87">
        <v>1740</v>
      </c>
      <c r="B87" t="s">
        <v>18</v>
      </c>
      <c r="C87" t="s">
        <v>58</v>
      </c>
      <c r="D87" t="s">
        <v>35</v>
      </c>
      <c r="H87">
        <v>82291</v>
      </c>
      <c r="I87" t="s">
        <v>136</v>
      </c>
      <c r="J87">
        <f t="shared" si="4"/>
        <v>82291</v>
      </c>
      <c r="L87">
        <f t="shared" si="5"/>
        <v>36.737053571428568</v>
      </c>
    </row>
    <row r="88" spans="1:12" x14ac:dyDescent="0.25">
      <c r="A88">
        <v>1740</v>
      </c>
      <c r="B88" t="s">
        <v>26</v>
      </c>
      <c r="C88" t="s">
        <v>58</v>
      </c>
      <c r="D88" t="s">
        <v>35</v>
      </c>
      <c r="J88">
        <f t="shared" si="4"/>
        <v>0</v>
      </c>
      <c r="L88">
        <f t="shared" si="5"/>
        <v>0</v>
      </c>
    </row>
    <row r="89" spans="1:12" x14ac:dyDescent="0.25">
      <c r="A89">
        <v>1740</v>
      </c>
      <c r="B89" t="s">
        <v>19</v>
      </c>
      <c r="C89" t="s">
        <v>58</v>
      </c>
      <c r="D89" t="s">
        <v>35</v>
      </c>
      <c r="J89">
        <f t="shared" si="4"/>
        <v>0</v>
      </c>
      <c r="L89">
        <f t="shared" si="5"/>
        <v>0</v>
      </c>
    </row>
    <row r="90" spans="1:12" x14ac:dyDescent="0.25">
      <c r="A90">
        <v>1740</v>
      </c>
      <c r="B90" t="s">
        <v>47</v>
      </c>
      <c r="C90" t="s">
        <v>58</v>
      </c>
      <c r="D90" t="s">
        <v>35</v>
      </c>
      <c r="J90">
        <f t="shared" si="4"/>
        <v>0</v>
      </c>
      <c r="L90">
        <f t="shared" si="5"/>
        <v>0</v>
      </c>
    </row>
    <row r="91" spans="1:12" x14ac:dyDescent="0.25">
      <c r="A91">
        <v>1740</v>
      </c>
      <c r="B91" t="s">
        <v>56</v>
      </c>
      <c r="C91" t="s">
        <v>58</v>
      </c>
      <c r="D91" t="s">
        <v>35</v>
      </c>
      <c r="H91">
        <v>48</v>
      </c>
      <c r="J91">
        <f t="shared" si="4"/>
        <v>48</v>
      </c>
      <c r="L91">
        <f t="shared" si="5"/>
        <v>2.1428571428571429E-2</v>
      </c>
    </row>
    <row r="92" spans="1:12" x14ac:dyDescent="0.25">
      <c r="A92">
        <v>1740</v>
      </c>
      <c r="B92" t="s">
        <v>90</v>
      </c>
      <c r="C92" t="s">
        <v>58</v>
      </c>
      <c r="D92" t="s">
        <v>35</v>
      </c>
      <c r="H92">
        <v>35</v>
      </c>
      <c r="J92">
        <f t="shared" si="4"/>
        <v>35</v>
      </c>
      <c r="L92">
        <f t="shared" si="5"/>
        <v>1.5625E-2</v>
      </c>
    </row>
    <row r="93" spans="1:12" x14ac:dyDescent="0.25">
      <c r="A93">
        <v>1740</v>
      </c>
      <c r="B93" t="s">
        <v>20</v>
      </c>
      <c r="C93" t="s">
        <v>58</v>
      </c>
      <c r="D93" t="s">
        <v>35</v>
      </c>
      <c r="J93">
        <f t="shared" si="4"/>
        <v>0</v>
      </c>
      <c r="L93">
        <f t="shared" si="5"/>
        <v>0</v>
      </c>
    </row>
    <row r="94" spans="1:12" x14ac:dyDescent="0.25">
      <c r="A94">
        <v>1740</v>
      </c>
      <c r="B94" t="s">
        <v>21</v>
      </c>
      <c r="C94" t="s">
        <v>58</v>
      </c>
      <c r="D94" t="s">
        <v>35</v>
      </c>
      <c r="H94">
        <v>14</v>
      </c>
      <c r="J94">
        <f t="shared" si="4"/>
        <v>14</v>
      </c>
      <c r="L94">
        <f t="shared" si="5"/>
        <v>6.2500000000000003E-3</v>
      </c>
    </row>
    <row r="95" spans="1:12" x14ac:dyDescent="0.25">
      <c r="A95">
        <v>1740</v>
      </c>
      <c r="B95" t="s">
        <v>22</v>
      </c>
      <c r="C95" t="s">
        <v>58</v>
      </c>
      <c r="D95" t="s">
        <v>35</v>
      </c>
      <c r="J95">
        <f t="shared" si="4"/>
        <v>0</v>
      </c>
      <c r="L95">
        <f t="shared" si="5"/>
        <v>0</v>
      </c>
    </row>
    <row r="96" spans="1:12" x14ac:dyDescent="0.25">
      <c r="A96">
        <v>1740</v>
      </c>
      <c r="B96" t="s">
        <v>63</v>
      </c>
      <c r="C96" t="s">
        <v>58</v>
      </c>
      <c r="D96" t="s">
        <v>35</v>
      </c>
      <c r="J96">
        <f t="shared" si="4"/>
        <v>0</v>
      </c>
      <c r="L96">
        <f t="shared" si="5"/>
        <v>0</v>
      </c>
    </row>
    <row r="97" spans="1:12" x14ac:dyDescent="0.25">
      <c r="A97">
        <v>1740</v>
      </c>
      <c r="B97" t="s">
        <v>64</v>
      </c>
      <c r="C97" t="s">
        <v>58</v>
      </c>
      <c r="D97" t="s">
        <v>35</v>
      </c>
      <c r="E97">
        <v>23</v>
      </c>
      <c r="F97">
        <v>16</v>
      </c>
      <c r="H97">
        <v>22</v>
      </c>
      <c r="J97">
        <f t="shared" si="4"/>
        <v>53334</v>
      </c>
      <c r="L97">
        <f t="shared" si="5"/>
        <v>23.809821428571428</v>
      </c>
    </row>
    <row r="98" spans="1:12" x14ac:dyDescent="0.25">
      <c r="A98">
        <v>1740</v>
      </c>
      <c r="B98" t="s">
        <v>65</v>
      </c>
      <c r="C98" t="s">
        <v>58</v>
      </c>
      <c r="D98" t="s">
        <v>35</v>
      </c>
      <c r="F98">
        <v>5</v>
      </c>
      <c r="J98">
        <f t="shared" si="4"/>
        <v>560</v>
      </c>
      <c r="L98">
        <f t="shared" si="5"/>
        <v>0.25</v>
      </c>
    </row>
    <row r="99" spans="1:12" x14ac:dyDescent="0.25">
      <c r="A99">
        <v>1740</v>
      </c>
      <c r="B99" t="s">
        <v>93</v>
      </c>
      <c r="C99" t="s">
        <v>58</v>
      </c>
      <c r="D99" t="s">
        <v>35</v>
      </c>
      <c r="J99">
        <f t="shared" si="4"/>
        <v>0</v>
      </c>
      <c r="L99">
        <f t="shared" si="5"/>
        <v>0</v>
      </c>
    </row>
    <row r="100" spans="1:12" x14ac:dyDescent="0.25">
      <c r="A100">
        <v>1740</v>
      </c>
      <c r="B100" t="s">
        <v>73</v>
      </c>
      <c r="C100" t="s">
        <v>58</v>
      </c>
      <c r="D100" t="s">
        <v>35</v>
      </c>
      <c r="J100">
        <f t="shared" si="4"/>
        <v>0</v>
      </c>
      <c r="L100">
        <f t="shared" si="5"/>
        <v>0</v>
      </c>
    </row>
    <row r="101" spans="1:12" x14ac:dyDescent="0.25">
      <c r="A101">
        <v>1740</v>
      </c>
      <c r="B101" t="s">
        <v>66</v>
      </c>
      <c r="C101" t="s">
        <v>58</v>
      </c>
      <c r="D101" t="s">
        <v>35</v>
      </c>
      <c r="E101">
        <v>188</v>
      </c>
      <c r="F101">
        <v>12</v>
      </c>
      <c r="G101">
        <v>2</v>
      </c>
      <c r="H101">
        <v>21</v>
      </c>
      <c r="J101">
        <f t="shared" si="4"/>
        <v>422541</v>
      </c>
      <c r="L101">
        <f t="shared" si="5"/>
        <v>188.63437500000001</v>
      </c>
    </row>
    <row r="102" spans="1:12" x14ac:dyDescent="0.25">
      <c r="A102">
        <v>1740</v>
      </c>
      <c r="B102" t="s">
        <v>67</v>
      </c>
      <c r="C102" t="s">
        <v>58</v>
      </c>
      <c r="D102" t="s">
        <v>35</v>
      </c>
      <c r="J102">
        <f t="shared" si="4"/>
        <v>0</v>
      </c>
      <c r="L102">
        <f t="shared" si="5"/>
        <v>0</v>
      </c>
    </row>
  </sheetData>
  <autoFilter ref="A1:N56" xr:uid="{AAD1F908-12B8-4B3A-A65D-184CD229ACD4}">
    <sortState xmlns:xlrd2="http://schemas.microsoft.com/office/spreadsheetml/2017/richdata2" ref="A2:N56">
      <sortCondition ref="B1:B5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15"/>
  <sheetViews>
    <sheetView workbookViewId="0">
      <selection activeCell="N9" sqref="N9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1740</v>
      </c>
      <c r="B2" t="s">
        <v>116</v>
      </c>
      <c r="C2" t="s">
        <v>69</v>
      </c>
      <c r="D2" t="s">
        <v>33</v>
      </c>
      <c r="H2">
        <v>28</v>
      </c>
      <c r="J2">
        <f t="shared" ref="J2:J9" si="0">(E2*2240)+(F2*112)+(G2*28)+H2</f>
        <v>28</v>
      </c>
      <c r="L2">
        <f t="shared" ref="L2:L9" si="1">J2/2240</f>
        <v>1.2500000000000001E-2</v>
      </c>
    </row>
    <row r="3" spans="1:12" x14ac:dyDescent="0.25">
      <c r="A3">
        <v>1740</v>
      </c>
      <c r="B3" t="s">
        <v>68</v>
      </c>
      <c r="C3" t="s">
        <v>69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1740</v>
      </c>
      <c r="B4" t="s">
        <v>8</v>
      </c>
      <c r="C4" t="s">
        <v>69</v>
      </c>
      <c r="D4" t="s">
        <v>33</v>
      </c>
      <c r="E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1740</v>
      </c>
      <c r="B5" t="s">
        <v>9</v>
      </c>
      <c r="C5" t="s">
        <v>69</v>
      </c>
      <c r="D5" t="s">
        <v>33</v>
      </c>
      <c r="E5" s="1"/>
      <c r="F5" s="1"/>
      <c r="G5" s="1"/>
      <c r="I5" s="1"/>
      <c r="J5">
        <f t="shared" si="0"/>
        <v>0</v>
      </c>
      <c r="K5" s="1"/>
      <c r="L5">
        <f t="shared" si="1"/>
        <v>0</v>
      </c>
    </row>
    <row r="6" spans="1:12" x14ac:dyDescent="0.25">
      <c r="A6">
        <v>1740</v>
      </c>
      <c r="B6" t="s">
        <v>63</v>
      </c>
      <c r="C6" t="s">
        <v>69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1740</v>
      </c>
      <c r="B7" t="s">
        <v>65</v>
      </c>
      <c r="C7" t="s">
        <v>69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1740</v>
      </c>
      <c r="B8" t="s">
        <v>12</v>
      </c>
      <c r="C8" t="s">
        <v>69</v>
      </c>
      <c r="D8" t="s">
        <v>35</v>
      </c>
      <c r="H8">
        <v>200</v>
      </c>
      <c r="J8">
        <f t="shared" si="0"/>
        <v>200</v>
      </c>
      <c r="K8" s="1"/>
      <c r="L8">
        <f t="shared" si="1"/>
        <v>8.9285714285714288E-2</v>
      </c>
    </row>
    <row r="9" spans="1:12" x14ac:dyDescent="0.25">
      <c r="A9">
        <v>1740</v>
      </c>
      <c r="B9" t="s">
        <v>43</v>
      </c>
      <c r="C9" t="s">
        <v>69</v>
      </c>
      <c r="D9" t="s">
        <v>35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1740</v>
      </c>
      <c r="B10" t="s">
        <v>19</v>
      </c>
      <c r="C10" t="s">
        <v>69</v>
      </c>
      <c r="D10" t="s">
        <v>35</v>
      </c>
      <c r="J10">
        <f>(E10*2240)+(F10*112)+(G10*28)+H10</f>
        <v>0</v>
      </c>
      <c r="L10">
        <f>J10/2240</f>
        <v>0</v>
      </c>
    </row>
    <row r="11" spans="1:12" x14ac:dyDescent="0.25">
      <c r="A11">
        <v>1740</v>
      </c>
      <c r="B11" t="s">
        <v>56</v>
      </c>
      <c r="C11" t="s">
        <v>69</v>
      </c>
      <c r="D11" t="s">
        <v>35</v>
      </c>
      <c r="J11">
        <f t="shared" ref="J11:J15" si="2">(E11*2240)+(F11*112)+(G11*28)+H11</f>
        <v>0</v>
      </c>
      <c r="L11">
        <f t="shared" ref="L11:L15" si="3">J11/2240</f>
        <v>0</v>
      </c>
    </row>
    <row r="12" spans="1:12" x14ac:dyDescent="0.25">
      <c r="A12">
        <v>1740</v>
      </c>
      <c r="B12" t="s">
        <v>9</v>
      </c>
      <c r="C12" t="s">
        <v>69</v>
      </c>
      <c r="D12" t="s">
        <v>35</v>
      </c>
      <c r="J12">
        <f t="shared" si="2"/>
        <v>0</v>
      </c>
      <c r="L12">
        <f t="shared" si="3"/>
        <v>0</v>
      </c>
    </row>
    <row r="13" spans="1:12" x14ac:dyDescent="0.25">
      <c r="A13">
        <v>1740</v>
      </c>
      <c r="B13" t="s">
        <v>8</v>
      </c>
      <c r="C13" t="s">
        <v>69</v>
      </c>
      <c r="D13" t="s">
        <v>35</v>
      </c>
      <c r="J13">
        <f t="shared" si="2"/>
        <v>0</v>
      </c>
      <c r="L13">
        <f t="shared" si="3"/>
        <v>0</v>
      </c>
    </row>
    <row r="14" spans="1:12" x14ac:dyDescent="0.25">
      <c r="A14">
        <v>1740</v>
      </c>
      <c r="B14" t="s">
        <v>63</v>
      </c>
      <c r="C14" t="s">
        <v>69</v>
      </c>
      <c r="D14" t="s">
        <v>35</v>
      </c>
      <c r="J14">
        <f t="shared" si="2"/>
        <v>0</v>
      </c>
      <c r="L14">
        <f t="shared" si="3"/>
        <v>0</v>
      </c>
    </row>
    <row r="15" spans="1:12" x14ac:dyDescent="0.25">
      <c r="A15">
        <v>1740</v>
      </c>
      <c r="B15" t="s">
        <v>65</v>
      </c>
      <c r="C15" t="s">
        <v>69</v>
      </c>
      <c r="D15" t="s">
        <v>35</v>
      </c>
      <c r="J15">
        <f t="shared" si="2"/>
        <v>0</v>
      </c>
      <c r="L15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4"/>
  <sheetViews>
    <sheetView topLeftCell="A50" zoomScaleNormal="100" workbookViewId="0">
      <selection activeCell="H84" sqref="H8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1740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1740</v>
      </c>
      <c r="B3" t="s">
        <v>59</v>
      </c>
      <c r="C3" t="s">
        <v>70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1740</v>
      </c>
      <c r="B4" t="s">
        <v>38</v>
      </c>
      <c r="C4" t="s">
        <v>70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1740</v>
      </c>
      <c r="B5" t="s">
        <v>4</v>
      </c>
      <c r="C5" t="s">
        <v>70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1740</v>
      </c>
      <c r="B6" t="s">
        <v>60</v>
      </c>
      <c r="C6" t="s">
        <v>70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1740</v>
      </c>
      <c r="B7" t="s">
        <v>71</v>
      </c>
      <c r="C7" t="s">
        <v>70</v>
      </c>
      <c r="D7" t="s">
        <v>33</v>
      </c>
      <c r="J7">
        <f t="shared" ref="J7:J26" si="0">(E7*2240)+(F7*112)+(G7*28)+H7</f>
        <v>0</v>
      </c>
      <c r="L7">
        <f t="shared" ref="L7:L28" si="1">J7/2240</f>
        <v>0</v>
      </c>
    </row>
    <row r="8" spans="1:12" x14ac:dyDescent="0.25">
      <c r="A8">
        <v>1740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1740</v>
      </c>
      <c r="B9" t="s">
        <v>102</v>
      </c>
      <c r="C9" t="s">
        <v>70</v>
      </c>
      <c r="D9" t="s">
        <v>33</v>
      </c>
      <c r="H9">
        <v>154</v>
      </c>
      <c r="J9">
        <f t="shared" si="0"/>
        <v>154</v>
      </c>
      <c r="L9">
        <f t="shared" si="1"/>
        <v>6.8750000000000006E-2</v>
      </c>
    </row>
    <row r="10" spans="1:12" x14ac:dyDescent="0.25">
      <c r="A10">
        <v>1740</v>
      </c>
      <c r="B10" t="s">
        <v>79</v>
      </c>
      <c r="C10" t="s">
        <v>70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1740</v>
      </c>
      <c r="B11" t="s">
        <v>5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1740</v>
      </c>
      <c r="B12" t="s">
        <v>61</v>
      </c>
      <c r="C12" t="s">
        <v>70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1740</v>
      </c>
      <c r="B13" t="s">
        <v>6</v>
      </c>
      <c r="C13" t="s">
        <v>70</v>
      </c>
      <c r="D13" t="s">
        <v>33</v>
      </c>
      <c r="F13">
        <v>177610</v>
      </c>
      <c r="G13">
        <v>2</v>
      </c>
      <c r="H13">
        <v>21</v>
      </c>
      <c r="J13">
        <f t="shared" si="0"/>
        <v>19892397</v>
      </c>
      <c r="L13">
        <f t="shared" si="1"/>
        <v>8880.5343749999993</v>
      </c>
    </row>
    <row r="14" spans="1:12" x14ac:dyDescent="0.25">
      <c r="A14">
        <v>1740</v>
      </c>
      <c r="B14" t="s">
        <v>62</v>
      </c>
      <c r="C14" t="s">
        <v>70</v>
      </c>
      <c r="D14" t="s">
        <v>33</v>
      </c>
      <c r="H14">
        <v>171</v>
      </c>
      <c r="J14">
        <f t="shared" si="0"/>
        <v>171</v>
      </c>
      <c r="L14">
        <f t="shared" si="1"/>
        <v>7.6339285714285721E-2</v>
      </c>
    </row>
    <row r="15" spans="1:12" x14ac:dyDescent="0.25">
      <c r="A15">
        <v>1740</v>
      </c>
      <c r="B15" t="s">
        <v>40</v>
      </c>
      <c r="C15" t="s">
        <v>70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1740</v>
      </c>
      <c r="B16" t="s">
        <v>39</v>
      </c>
      <c r="C16" t="s">
        <v>70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1740</v>
      </c>
      <c r="B17" t="s">
        <v>8</v>
      </c>
      <c r="C17" t="s">
        <v>70</v>
      </c>
      <c r="D17" t="s">
        <v>33</v>
      </c>
      <c r="F17">
        <v>3666</v>
      </c>
      <c r="G17">
        <v>1</v>
      </c>
      <c r="H17">
        <v>21</v>
      </c>
      <c r="J17">
        <f t="shared" si="0"/>
        <v>410641</v>
      </c>
      <c r="L17">
        <f t="shared" si="1"/>
        <v>183.32187500000001</v>
      </c>
    </row>
    <row r="18" spans="1:12" x14ac:dyDescent="0.25">
      <c r="A18">
        <v>1740</v>
      </c>
      <c r="B18" t="s">
        <v>42</v>
      </c>
      <c r="C18" t="s">
        <v>70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1740</v>
      </c>
      <c r="B19" t="s">
        <v>80</v>
      </c>
      <c r="C19" t="s">
        <v>70</v>
      </c>
      <c r="D19" t="s">
        <v>33</v>
      </c>
      <c r="F19">
        <v>1717</v>
      </c>
      <c r="G19">
        <v>3</v>
      </c>
      <c r="H19">
        <v>20</v>
      </c>
      <c r="J19">
        <f t="shared" si="0"/>
        <v>192408</v>
      </c>
      <c r="L19">
        <f t="shared" si="1"/>
        <v>85.896428571428572</v>
      </c>
    </row>
    <row r="20" spans="1:12" x14ac:dyDescent="0.25">
      <c r="A20">
        <v>1740</v>
      </c>
      <c r="B20" t="s">
        <v>81</v>
      </c>
      <c r="C20" t="s">
        <v>70</v>
      </c>
      <c r="D20" t="s">
        <v>33</v>
      </c>
      <c r="G20">
        <v>169</v>
      </c>
      <c r="H20">
        <v>198</v>
      </c>
      <c r="J20">
        <f t="shared" si="0"/>
        <v>4930</v>
      </c>
      <c r="L20">
        <f t="shared" si="1"/>
        <v>2.2008928571428572</v>
      </c>
    </row>
    <row r="21" spans="1:12" x14ac:dyDescent="0.25">
      <c r="A21">
        <v>1740</v>
      </c>
      <c r="B21" t="s">
        <v>48</v>
      </c>
      <c r="C21" t="s">
        <v>70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1740</v>
      </c>
      <c r="B22" t="s">
        <v>9</v>
      </c>
      <c r="C22" t="s">
        <v>70</v>
      </c>
      <c r="D22" t="s">
        <v>33</v>
      </c>
      <c r="H22">
        <f>200*413</f>
        <v>82600</v>
      </c>
      <c r="I22" t="s">
        <v>123</v>
      </c>
      <c r="J22">
        <f t="shared" si="0"/>
        <v>82600</v>
      </c>
      <c r="L22">
        <f t="shared" si="1"/>
        <v>36.875</v>
      </c>
    </row>
    <row r="23" spans="1:12" x14ac:dyDescent="0.25">
      <c r="A23">
        <v>1740</v>
      </c>
      <c r="B23" t="s">
        <v>10</v>
      </c>
      <c r="C23" t="s">
        <v>70</v>
      </c>
      <c r="D23" t="s">
        <v>33</v>
      </c>
      <c r="F23">
        <v>6718</v>
      </c>
      <c r="G23">
        <v>3</v>
      </c>
      <c r="H23">
        <v>11</v>
      </c>
      <c r="J23">
        <f t="shared" si="0"/>
        <v>752511</v>
      </c>
      <c r="L23">
        <f t="shared" si="1"/>
        <v>335.9424107142857</v>
      </c>
    </row>
    <row r="24" spans="1:12" x14ac:dyDescent="0.25">
      <c r="A24">
        <v>1740</v>
      </c>
      <c r="B24" t="s">
        <v>11</v>
      </c>
      <c r="C24" t="s">
        <v>70</v>
      </c>
      <c r="D24" t="s">
        <v>33</v>
      </c>
      <c r="F24">
        <v>48</v>
      </c>
      <c r="G24">
        <v>1</v>
      </c>
      <c r="J24">
        <f t="shared" si="0"/>
        <v>5404</v>
      </c>
      <c r="L24">
        <f t="shared" si="1"/>
        <v>2.4125000000000001</v>
      </c>
    </row>
    <row r="25" spans="1:12" x14ac:dyDescent="0.25">
      <c r="A25">
        <v>1740</v>
      </c>
      <c r="B25" t="s">
        <v>41</v>
      </c>
      <c r="C25" t="s">
        <v>70</v>
      </c>
      <c r="D25" t="s">
        <v>33</v>
      </c>
      <c r="H25">
        <v>230</v>
      </c>
      <c r="J25">
        <f t="shared" si="0"/>
        <v>230</v>
      </c>
      <c r="L25">
        <f t="shared" si="1"/>
        <v>0.10267857142857142</v>
      </c>
    </row>
    <row r="26" spans="1:12" x14ac:dyDescent="0.25">
      <c r="A26">
        <v>1740</v>
      </c>
      <c r="B26" t="s">
        <v>82</v>
      </c>
      <c r="C26" t="s">
        <v>70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1740</v>
      </c>
      <c r="B27" t="s">
        <v>83</v>
      </c>
      <c r="C27" t="s">
        <v>70</v>
      </c>
      <c r="D27" t="s">
        <v>33</v>
      </c>
      <c r="H27">
        <v>2290</v>
      </c>
      <c r="J27">
        <f t="shared" ref="J27:J48" si="2">(E27*2240)+(F27*112)+(G27*28)+H27</f>
        <v>2290</v>
      </c>
      <c r="L27">
        <f t="shared" si="1"/>
        <v>1.0223214285714286</v>
      </c>
    </row>
    <row r="28" spans="1:12" x14ac:dyDescent="0.25">
      <c r="A28">
        <v>1740</v>
      </c>
      <c r="B28" t="s">
        <v>46</v>
      </c>
      <c r="C28" t="s">
        <v>70</v>
      </c>
      <c r="D28" t="s">
        <v>33</v>
      </c>
      <c r="J28">
        <f t="shared" si="2"/>
        <v>0</v>
      </c>
      <c r="L28">
        <f t="shared" si="1"/>
        <v>0</v>
      </c>
    </row>
    <row r="29" spans="1:12" x14ac:dyDescent="0.25">
      <c r="A29">
        <v>1740</v>
      </c>
      <c r="B29" t="s">
        <v>12</v>
      </c>
      <c r="C29" t="s">
        <v>70</v>
      </c>
      <c r="D29" t="s">
        <v>33</v>
      </c>
      <c r="H29">
        <v>39921</v>
      </c>
      <c r="J29">
        <f t="shared" si="2"/>
        <v>39921</v>
      </c>
      <c r="L29">
        <f t="shared" ref="L29:L48" si="3">J29/2240</f>
        <v>17.821874999999999</v>
      </c>
    </row>
    <row r="30" spans="1:12" x14ac:dyDescent="0.25">
      <c r="A30">
        <v>1740</v>
      </c>
      <c r="B30" t="s">
        <v>86</v>
      </c>
      <c r="C30" t="s">
        <v>70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1740</v>
      </c>
      <c r="B31" t="s">
        <v>34</v>
      </c>
      <c r="C31" t="s">
        <v>70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1740</v>
      </c>
      <c r="B32" t="s">
        <v>13</v>
      </c>
      <c r="C32" t="s">
        <v>70</v>
      </c>
      <c r="D32" t="s">
        <v>33</v>
      </c>
      <c r="E32">
        <v>11</v>
      </c>
      <c r="J32">
        <f t="shared" si="2"/>
        <v>24640</v>
      </c>
      <c r="L32">
        <f t="shared" si="3"/>
        <v>11</v>
      </c>
    </row>
    <row r="33" spans="1:12" x14ac:dyDescent="0.25">
      <c r="A33">
        <v>1740</v>
      </c>
      <c r="B33" t="s">
        <v>14</v>
      </c>
      <c r="C33" t="s">
        <v>70</v>
      </c>
      <c r="D33" t="s">
        <v>33</v>
      </c>
      <c r="H33">
        <v>17825</v>
      </c>
      <c r="I33" t="s">
        <v>117</v>
      </c>
      <c r="J33">
        <f t="shared" si="2"/>
        <v>17825</v>
      </c>
      <c r="L33">
        <f t="shared" si="3"/>
        <v>7.9575892857142856</v>
      </c>
    </row>
    <row r="34" spans="1:12" x14ac:dyDescent="0.25">
      <c r="A34">
        <v>1740</v>
      </c>
      <c r="B34" t="s">
        <v>23</v>
      </c>
      <c r="C34" t="s">
        <v>70</v>
      </c>
      <c r="D34" t="s">
        <v>33</v>
      </c>
      <c r="J34">
        <f t="shared" si="2"/>
        <v>0</v>
      </c>
      <c r="L34">
        <f t="shared" si="3"/>
        <v>0</v>
      </c>
    </row>
    <row r="35" spans="1:12" x14ac:dyDescent="0.25">
      <c r="A35">
        <v>1740</v>
      </c>
      <c r="B35" t="s">
        <v>27</v>
      </c>
      <c r="C35" t="s">
        <v>70</v>
      </c>
      <c r="D35" t="s">
        <v>33</v>
      </c>
      <c r="H35">
        <v>63256</v>
      </c>
      <c r="I35" t="s">
        <v>121</v>
      </c>
      <c r="J35">
        <f t="shared" si="2"/>
        <v>63256</v>
      </c>
      <c r="L35">
        <f t="shared" si="3"/>
        <v>28.239285714285714</v>
      </c>
    </row>
    <row r="36" spans="1:12" x14ac:dyDescent="0.25">
      <c r="A36">
        <v>1740</v>
      </c>
      <c r="B36" t="s">
        <v>15</v>
      </c>
      <c r="C36" t="s">
        <v>70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1740</v>
      </c>
      <c r="B37" t="s">
        <v>44</v>
      </c>
      <c r="C37" t="s">
        <v>70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1740</v>
      </c>
      <c r="B38" t="s">
        <v>87</v>
      </c>
      <c r="C38" t="s">
        <v>70</v>
      </c>
      <c r="D38" t="s">
        <v>33</v>
      </c>
      <c r="F38">
        <v>26</v>
      </c>
      <c r="G38">
        <v>1</v>
      </c>
      <c r="J38">
        <f t="shared" si="2"/>
        <v>2940</v>
      </c>
      <c r="L38">
        <f t="shared" si="3"/>
        <v>1.3125</v>
      </c>
    </row>
    <row r="39" spans="1:12" x14ac:dyDescent="0.25">
      <c r="A39">
        <v>1740</v>
      </c>
      <c r="B39" t="s">
        <v>49</v>
      </c>
      <c r="C39" t="s">
        <v>70</v>
      </c>
      <c r="D39" t="s">
        <v>33</v>
      </c>
      <c r="H39">
        <v>230</v>
      </c>
      <c r="I39" t="s">
        <v>118</v>
      </c>
      <c r="J39">
        <f t="shared" si="2"/>
        <v>230</v>
      </c>
      <c r="L39">
        <f t="shared" si="3"/>
        <v>0.10267857142857142</v>
      </c>
    </row>
    <row r="40" spans="1:12" x14ac:dyDescent="0.25">
      <c r="A40">
        <v>1740</v>
      </c>
      <c r="B40" t="s">
        <v>16</v>
      </c>
      <c r="C40" t="s">
        <v>70</v>
      </c>
      <c r="D40" t="s">
        <v>33</v>
      </c>
      <c r="H40">
        <v>276229</v>
      </c>
      <c r="J40">
        <f t="shared" si="2"/>
        <v>276229</v>
      </c>
      <c r="L40">
        <f t="shared" si="3"/>
        <v>123.31651785714286</v>
      </c>
    </row>
    <row r="41" spans="1:12" x14ac:dyDescent="0.25">
      <c r="A41">
        <v>1740</v>
      </c>
      <c r="B41" t="s">
        <v>100</v>
      </c>
      <c r="C41" t="s">
        <v>70</v>
      </c>
      <c r="D41" t="s">
        <v>33</v>
      </c>
      <c r="H41">
        <v>9652</v>
      </c>
      <c r="I41" t="s">
        <v>120</v>
      </c>
      <c r="J41">
        <f t="shared" si="2"/>
        <v>9652</v>
      </c>
      <c r="L41">
        <f t="shared" si="3"/>
        <v>4.308928571428571</v>
      </c>
    </row>
    <row r="42" spans="1:12" x14ac:dyDescent="0.25">
      <c r="A42">
        <v>1740</v>
      </c>
      <c r="B42" t="s">
        <v>17</v>
      </c>
      <c r="C42" t="s">
        <v>70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1740</v>
      </c>
      <c r="B43" t="s">
        <v>18</v>
      </c>
      <c r="C43" t="s">
        <v>70</v>
      </c>
      <c r="D43" t="s">
        <v>33</v>
      </c>
      <c r="H43">
        <v>1831190</v>
      </c>
      <c r="I43" t="s">
        <v>119</v>
      </c>
      <c r="J43">
        <f t="shared" si="2"/>
        <v>1831190</v>
      </c>
      <c r="L43">
        <f t="shared" si="3"/>
        <v>817.49553571428567</v>
      </c>
    </row>
    <row r="44" spans="1:12" x14ac:dyDescent="0.25">
      <c r="A44">
        <v>1740</v>
      </c>
      <c r="B44" t="s">
        <v>26</v>
      </c>
      <c r="C44" t="s">
        <v>70</v>
      </c>
      <c r="D44" t="s">
        <v>33</v>
      </c>
      <c r="H44">
        <v>21214</v>
      </c>
      <c r="J44">
        <f t="shared" si="2"/>
        <v>21214</v>
      </c>
      <c r="L44">
        <f t="shared" si="3"/>
        <v>9.4705357142857149</v>
      </c>
    </row>
    <row r="45" spans="1:12" x14ac:dyDescent="0.25">
      <c r="A45">
        <v>1740</v>
      </c>
      <c r="B45" t="s">
        <v>88</v>
      </c>
      <c r="C45" t="s">
        <v>70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1740</v>
      </c>
      <c r="B46" t="s">
        <v>19</v>
      </c>
      <c r="C46" t="s">
        <v>70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1740</v>
      </c>
      <c r="B47" t="s">
        <v>47</v>
      </c>
      <c r="C47" t="s">
        <v>70</v>
      </c>
      <c r="D47" t="s">
        <v>33</v>
      </c>
      <c r="H47">
        <v>3775</v>
      </c>
      <c r="J47">
        <f t="shared" si="2"/>
        <v>3775</v>
      </c>
      <c r="L47">
        <f t="shared" si="3"/>
        <v>1.6852678571428572</v>
      </c>
    </row>
    <row r="48" spans="1:12" x14ac:dyDescent="0.25">
      <c r="A48">
        <v>1740</v>
      </c>
      <c r="B48" t="s">
        <v>89</v>
      </c>
      <c r="C48" t="s">
        <v>70</v>
      </c>
      <c r="D48" t="s">
        <v>33</v>
      </c>
      <c r="J48">
        <f t="shared" si="2"/>
        <v>0</v>
      </c>
      <c r="L48">
        <f t="shared" si="3"/>
        <v>0</v>
      </c>
    </row>
    <row r="49" spans="1:12" x14ac:dyDescent="0.25">
      <c r="A49">
        <v>1740</v>
      </c>
      <c r="B49" t="s">
        <v>56</v>
      </c>
      <c r="C49" t="s">
        <v>70</v>
      </c>
      <c r="D49" t="s">
        <v>33</v>
      </c>
      <c r="H49">
        <v>1396</v>
      </c>
      <c r="J49">
        <f t="shared" ref="J49:J52" si="4">(E49*2240)+(F49*112)+(G49*28)+H49</f>
        <v>1396</v>
      </c>
      <c r="L49">
        <f t="shared" ref="L49:L52" si="5">J49/2240</f>
        <v>0.62321428571428572</v>
      </c>
    </row>
    <row r="50" spans="1:12" x14ac:dyDescent="0.25">
      <c r="A50">
        <v>1740</v>
      </c>
      <c r="B50" t="s">
        <v>90</v>
      </c>
      <c r="C50" t="s">
        <v>70</v>
      </c>
      <c r="D50" t="s">
        <v>33</v>
      </c>
      <c r="H50">
        <v>599</v>
      </c>
      <c r="J50">
        <f t="shared" si="4"/>
        <v>599</v>
      </c>
      <c r="L50">
        <f t="shared" si="5"/>
        <v>0.26741071428571428</v>
      </c>
    </row>
    <row r="51" spans="1:12" x14ac:dyDescent="0.25">
      <c r="A51">
        <v>1740</v>
      </c>
      <c r="B51" t="s">
        <v>20</v>
      </c>
      <c r="C51" t="s">
        <v>70</v>
      </c>
      <c r="D51" t="s">
        <v>33</v>
      </c>
      <c r="H51">
        <v>375</v>
      </c>
      <c r="J51">
        <f t="shared" si="4"/>
        <v>375</v>
      </c>
      <c r="L51">
        <f t="shared" si="5"/>
        <v>0.16741071428571427</v>
      </c>
    </row>
    <row r="52" spans="1:12" x14ac:dyDescent="0.25">
      <c r="A52">
        <v>1740</v>
      </c>
      <c r="B52" t="s">
        <v>21</v>
      </c>
      <c r="C52" t="s">
        <v>70</v>
      </c>
      <c r="D52" t="s">
        <v>33</v>
      </c>
      <c r="H52">
        <v>8074.5</v>
      </c>
      <c r="J52">
        <f t="shared" si="4"/>
        <v>8074.5</v>
      </c>
      <c r="L52">
        <f t="shared" si="5"/>
        <v>3.6046874999999998</v>
      </c>
    </row>
    <row r="53" spans="1:12" x14ac:dyDescent="0.25">
      <c r="A53">
        <v>1740</v>
      </c>
      <c r="B53" t="s">
        <v>22</v>
      </c>
      <c r="C53" t="s">
        <v>70</v>
      </c>
      <c r="D53" t="s">
        <v>33</v>
      </c>
      <c r="J53">
        <f t="shared" ref="J53:J72" si="6">(E53*2240)+(F53*112)+(G53*28)+H53</f>
        <v>0</v>
      </c>
      <c r="L53">
        <f t="shared" ref="L53:L72" si="7">J53/2240</f>
        <v>0</v>
      </c>
    </row>
    <row r="54" spans="1:12" x14ac:dyDescent="0.25">
      <c r="A54">
        <v>1740</v>
      </c>
      <c r="B54" t="s">
        <v>63</v>
      </c>
      <c r="C54" t="s">
        <v>70</v>
      </c>
      <c r="D54" t="s">
        <v>33</v>
      </c>
      <c r="J54">
        <f t="shared" si="6"/>
        <v>0</v>
      </c>
      <c r="L54">
        <f t="shared" si="7"/>
        <v>0</v>
      </c>
    </row>
    <row r="55" spans="1:12" x14ac:dyDescent="0.25">
      <c r="A55">
        <v>1740</v>
      </c>
      <c r="B55" t="s">
        <v>122</v>
      </c>
      <c r="C55" t="s">
        <v>70</v>
      </c>
      <c r="D55" t="s">
        <v>33</v>
      </c>
      <c r="E55">
        <v>22</v>
      </c>
      <c r="F55">
        <v>19</v>
      </c>
      <c r="G55">
        <v>1</v>
      </c>
      <c r="H55">
        <v>17</v>
      </c>
      <c r="J55">
        <f t="shared" si="6"/>
        <v>51453</v>
      </c>
      <c r="L55">
        <f t="shared" si="7"/>
        <v>22.970089285714284</v>
      </c>
    </row>
    <row r="56" spans="1:12" x14ac:dyDescent="0.25">
      <c r="A56">
        <v>1740</v>
      </c>
      <c r="B56" t="s">
        <v>91</v>
      </c>
      <c r="C56" t="s">
        <v>70</v>
      </c>
      <c r="D56" t="s">
        <v>33</v>
      </c>
      <c r="E56">
        <v>8</v>
      </c>
      <c r="J56">
        <f t="shared" si="6"/>
        <v>17920</v>
      </c>
      <c r="L56">
        <f t="shared" si="7"/>
        <v>8</v>
      </c>
    </row>
    <row r="57" spans="1:12" x14ac:dyDescent="0.25">
      <c r="A57">
        <v>1740</v>
      </c>
      <c r="B57" t="s">
        <v>64</v>
      </c>
      <c r="C57" t="s">
        <v>70</v>
      </c>
      <c r="D57" t="s">
        <v>33</v>
      </c>
      <c r="E57">
        <v>143</v>
      </c>
      <c r="F57">
        <v>8</v>
      </c>
      <c r="J57">
        <f t="shared" si="6"/>
        <v>321216</v>
      </c>
      <c r="L57">
        <f t="shared" si="7"/>
        <v>143.4</v>
      </c>
    </row>
    <row r="58" spans="1:12" x14ac:dyDescent="0.25">
      <c r="A58">
        <v>1740</v>
      </c>
      <c r="B58" t="s">
        <v>92</v>
      </c>
      <c r="C58" t="s">
        <v>70</v>
      </c>
      <c r="D58" t="s">
        <v>33</v>
      </c>
      <c r="J58">
        <f t="shared" si="6"/>
        <v>0</v>
      </c>
      <c r="L58">
        <f t="shared" si="7"/>
        <v>0</v>
      </c>
    </row>
    <row r="59" spans="1:12" x14ac:dyDescent="0.25">
      <c r="A59">
        <v>1740</v>
      </c>
      <c r="B59" t="s">
        <v>65</v>
      </c>
      <c r="C59" t="s">
        <v>70</v>
      </c>
      <c r="D59" t="s">
        <v>33</v>
      </c>
      <c r="E59">
        <v>194</v>
      </c>
      <c r="J59">
        <f t="shared" si="6"/>
        <v>434560</v>
      </c>
      <c r="L59">
        <f t="shared" si="7"/>
        <v>194</v>
      </c>
    </row>
    <row r="60" spans="1:12" x14ac:dyDescent="0.25">
      <c r="A60">
        <v>1740</v>
      </c>
      <c r="B60" t="s">
        <v>93</v>
      </c>
      <c r="C60" t="s">
        <v>70</v>
      </c>
      <c r="D60" t="s">
        <v>33</v>
      </c>
      <c r="E60">
        <v>280</v>
      </c>
      <c r="G60">
        <v>756</v>
      </c>
      <c r="J60">
        <f t="shared" si="6"/>
        <v>648368</v>
      </c>
      <c r="L60">
        <f t="shared" si="7"/>
        <v>289.45</v>
      </c>
    </row>
    <row r="61" spans="1:12" x14ac:dyDescent="0.25">
      <c r="A61">
        <v>1740</v>
      </c>
      <c r="B61" t="s">
        <v>73</v>
      </c>
      <c r="C61" t="s">
        <v>70</v>
      </c>
      <c r="D61" t="s">
        <v>33</v>
      </c>
      <c r="E61">
        <v>294</v>
      </c>
      <c r="F61">
        <v>9</v>
      </c>
      <c r="G61">
        <v>2</v>
      </c>
      <c r="J61">
        <f t="shared" si="6"/>
        <v>659624</v>
      </c>
      <c r="L61">
        <f t="shared" si="7"/>
        <v>294.47500000000002</v>
      </c>
    </row>
    <row r="62" spans="1:12" x14ac:dyDescent="0.25">
      <c r="A62">
        <v>1740</v>
      </c>
      <c r="B62" t="s">
        <v>66</v>
      </c>
      <c r="C62" t="s">
        <v>70</v>
      </c>
      <c r="D62" t="s">
        <v>33</v>
      </c>
      <c r="E62">
        <v>59</v>
      </c>
      <c r="F62">
        <v>10</v>
      </c>
      <c r="J62">
        <f t="shared" si="6"/>
        <v>133280</v>
      </c>
      <c r="L62">
        <f t="shared" si="7"/>
        <v>59.5</v>
      </c>
    </row>
    <row r="63" spans="1:12" x14ac:dyDescent="0.25">
      <c r="A63">
        <v>1740</v>
      </c>
      <c r="B63" t="s">
        <v>67</v>
      </c>
      <c r="C63" t="s">
        <v>70</v>
      </c>
      <c r="D63" t="s">
        <v>33</v>
      </c>
      <c r="J63">
        <f t="shared" si="6"/>
        <v>0</v>
      </c>
      <c r="L63">
        <f t="shared" si="7"/>
        <v>0</v>
      </c>
    </row>
    <row r="64" spans="1:12" x14ac:dyDescent="0.25">
      <c r="A64">
        <v>1740</v>
      </c>
      <c r="B64" t="s">
        <v>57</v>
      </c>
      <c r="C64" t="s">
        <v>70</v>
      </c>
      <c r="D64" t="s">
        <v>35</v>
      </c>
      <c r="J64">
        <f t="shared" si="6"/>
        <v>0</v>
      </c>
      <c r="L64">
        <f t="shared" si="7"/>
        <v>0</v>
      </c>
    </row>
    <row r="65" spans="1:12" x14ac:dyDescent="0.25">
      <c r="A65">
        <v>1740</v>
      </c>
      <c r="B65" t="s">
        <v>59</v>
      </c>
      <c r="C65" t="s">
        <v>70</v>
      </c>
      <c r="D65" t="s">
        <v>35</v>
      </c>
      <c r="J65">
        <f t="shared" si="6"/>
        <v>0</v>
      </c>
      <c r="L65">
        <f t="shared" si="7"/>
        <v>0</v>
      </c>
    </row>
    <row r="66" spans="1:12" x14ac:dyDescent="0.25">
      <c r="A66">
        <v>1740</v>
      </c>
      <c r="B66" t="s">
        <v>38</v>
      </c>
      <c r="C66" t="s">
        <v>70</v>
      </c>
      <c r="D66" t="s">
        <v>35</v>
      </c>
      <c r="J66">
        <f t="shared" si="6"/>
        <v>0</v>
      </c>
      <c r="L66">
        <f t="shared" si="7"/>
        <v>0</v>
      </c>
    </row>
    <row r="67" spans="1:12" x14ac:dyDescent="0.25">
      <c r="A67">
        <v>1740</v>
      </c>
      <c r="B67" t="s">
        <v>4</v>
      </c>
      <c r="C67" t="s">
        <v>70</v>
      </c>
      <c r="D67" t="s">
        <v>35</v>
      </c>
      <c r="J67">
        <f t="shared" si="6"/>
        <v>0</v>
      </c>
      <c r="L67">
        <f t="shared" si="7"/>
        <v>0</v>
      </c>
    </row>
    <row r="68" spans="1:12" x14ac:dyDescent="0.25">
      <c r="A68">
        <v>1740</v>
      </c>
      <c r="B68" t="s">
        <v>60</v>
      </c>
      <c r="C68" t="s">
        <v>70</v>
      </c>
      <c r="D68" t="s">
        <v>35</v>
      </c>
      <c r="J68">
        <f t="shared" si="6"/>
        <v>0</v>
      </c>
      <c r="L68">
        <f t="shared" si="7"/>
        <v>0</v>
      </c>
    </row>
    <row r="69" spans="1:12" x14ac:dyDescent="0.25">
      <c r="A69">
        <v>1740</v>
      </c>
      <c r="B69" t="s">
        <v>71</v>
      </c>
      <c r="C69" t="s">
        <v>70</v>
      </c>
      <c r="D69" t="s">
        <v>35</v>
      </c>
      <c r="J69">
        <f t="shared" si="6"/>
        <v>0</v>
      </c>
      <c r="L69">
        <f t="shared" si="7"/>
        <v>0</v>
      </c>
    </row>
    <row r="70" spans="1:12" x14ac:dyDescent="0.25">
      <c r="A70">
        <v>1740</v>
      </c>
      <c r="B70" t="s">
        <v>45</v>
      </c>
      <c r="C70" t="s">
        <v>70</v>
      </c>
      <c r="D70" t="s">
        <v>35</v>
      </c>
      <c r="J70">
        <f t="shared" si="6"/>
        <v>0</v>
      </c>
      <c r="L70">
        <f t="shared" si="7"/>
        <v>0</v>
      </c>
    </row>
    <row r="71" spans="1:12" x14ac:dyDescent="0.25">
      <c r="A71">
        <v>1740</v>
      </c>
      <c r="B71" t="s">
        <v>79</v>
      </c>
      <c r="C71" t="s">
        <v>70</v>
      </c>
      <c r="D71" t="s">
        <v>35</v>
      </c>
      <c r="J71">
        <f t="shared" si="6"/>
        <v>0</v>
      </c>
      <c r="L71">
        <f t="shared" si="7"/>
        <v>0</v>
      </c>
    </row>
    <row r="72" spans="1:12" x14ac:dyDescent="0.25">
      <c r="A72">
        <v>1740</v>
      </c>
      <c r="B72" t="s">
        <v>5</v>
      </c>
      <c r="C72" t="s">
        <v>70</v>
      </c>
      <c r="D72" t="s">
        <v>35</v>
      </c>
      <c r="J72">
        <f t="shared" si="6"/>
        <v>0</v>
      </c>
      <c r="L72">
        <f t="shared" si="7"/>
        <v>0</v>
      </c>
    </row>
    <row r="73" spans="1:12" x14ac:dyDescent="0.25">
      <c r="A73">
        <v>1740</v>
      </c>
      <c r="B73" t="s">
        <v>61</v>
      </c>
      <c r="C73" t="s">
        <v>70</v>
      </c>
      <c r="D73" t="s">
        <v>35</v>
      </c>
      <c r="J73">
        <f t="shared" ref="J73:J124" si="8">(E73*2240)+(F73*112)+(G73*28)+H73</f>
        <v>0</v>
      </c>
      <c r="L73">
        <f t="shared" ref="L73:L124" si="9">J73/2240</f>
        <v>0</v>
      </c>
    </row>
    <row r="74" spans="1:12" x14ac:dyDescent="0.25">
      <c r="A74">
        <v>1740</v>
      </c>
      <c r="B74" t="s">
        <v>6</v>
      </c>
      <c r="C74" t="s">
        <v>70</v>
      </c>
      <c r="D74" t="s">
        <v>35</v>
      </c>
      <c r="F74">
        <v>101927</v>
      </c>
      <c r="H74">
        <v>10</v>
      </c>
      <c r="J74">
        <f t="shared" si="8"/>
        <v>11415834</v>
      </c>
      <c r="L74">
        <f t="shared" si="9"/>
        <v>5096.3544642857141</v>
      </c>
    </row>
    <row r="75" spans="1:12" x14ac:dyDescent="0.25">
      <c r="A75">
        <v>1740</v>
      </c>
      <c r="B75" t="s">
        <v>62</v>
      </c>
      <c r="C75" t="s">
        <v>70</v>
      </c>
      <c r="D75" t="s">
        <v>35</v>
      </c>
      <c r="J75">
        <f t="shared" si="8"/>
        <v>0</v>
      </c>
      <c r="L75">
        <f t="shared" si="9"/>
        <v>0</v>
      </c>
    </row>
    <row r="76" spans="1:12" x14ac:dyDescent="0.25">
      <c r="A76">
        <v>1740</v>
      </c>
      <c r="B76" t="s">
        <v>40</v>
      </c>
      <c r="C76" t="s">
        <v>70</v>
      </c>
      <c r="D76" t="s">
        <v>35</v>
      </c>
      <c r="J76">
        <f t="shared" si="8"/>
        <v>0</v>
      </c>
      <c r="L76">
        <f t="shared" si="9"/>
        <v>0</v>
      </c>
    </row>
    <row r="77" spans="1:12" x14ac:dyDescent="0.25">
      <c r="A77">
        <v>1740</v>
      </c>
      <c r="B77" t="s">
        <v>39</v>
      </c>
      <c r="C77" t="s">
        <v>70</v>
      </c>
      <c r="D77" t="s">
        <v>35</v>
      </c>
      <c r="J77">
        <f t="shared" si="8"/>
        <v>0</v>
      </c>
      <c r="L77">
        <f t="shared" si="9"/>
        <v>0</v>
      </c>
    </row>
    <row r="78" spans="1:12" x14ac:dyDescent="0.25">
      <c r="A78">
        <v>1740</v>
      </c>
      <c r="B78" t="s">
        <v>8</v>
      </c>
      <c r="C78" t="s">
        <v>70</v>
      </c>
      <c r="D78" t="s">
        <v>35</v>
      </c>
      <c r="F78">
        <v>55</v>
      </c>
      <c r="G78">
        <v>3</v>
      </c>
      <c r="H78">
        <v>5</v>
      </c>
      <c r="J78">
        <f t="shared" si="8"/>
        <v>6249</v>
      </c>
      <c r="L78">
        <f t="shared" si="9"/>
        <v>2.7897321428571429</v>
      </c>
    </row>
    <row r="79" spans="1:12" x14ac:dyDescent="0.25">
      <c r="A79">
        <v>1740</v>
      </c>
      <c r="B79" t="s">
        <v>42</v>
      </c>
      <c r="C79" t="s">
        <v>70</v>
      </c>
      <c r="D79" t="s">
        <v>35</v>
      </c>
      <c r="J79">
        <f t="shared" si="8"/>
        <v>0</v>
      </c>
      <c r="L79">
        <f t="shared" si="9"/>
        <v>0</v>
      </c>
    </row>
    <row r="80" spans="1:12" x14ac:dyDescent="0.25">
      <c r="A80">
        <v>1740</v>
      </c>
      <c r="B80" t="s">
        <v>80</v>
      </c>
      <c r="C80" t="s">
        <v>70</v>
      </c>
      <c r="D80" t="s">
        <v>35</v>
      </c>
      <c r="J80">
        <f t="shared" si="8"/>
        <v>0</v>
      </c>
      <c r="L80">
        <f t="shared" si="9"/>
        <v>0</v>
      </c>
    </row>
    <row r="81" spans="1:12" x14ac:dyDescent="0.25">
      <c r="A81">
        <v>1740</v>
      </c>
      <c r="B81" t="s">
        <v>81</v>
      </c>
      <c r="C81" t="s">
        <v>70</v>
      </c>
      <c r="D81" t="s">
        <v>35</v>
      </c>
      <c r="H81">
        <v>575</v>
      </c>
      <c r="J81">
        <f t="shared" si="8"/>
        <v>575</v>
      </c>
      <c r="L81">
        <f t="shared" si="9"/>
        <v>0.25669642857142855</v>
      </c>
    </row>
    <row r="82" spans="1:12" x14ac:dyDescent="0.25">
      <c r="A82">
        <v>1740</v>
      </c>
      <c r="B82" t="s">
        <v>48</v>
      </c>
      <c r="C82" t="s">
        <v>70</v>
      </c>
      <c r="D82" t="s">
        <v>35</v>
      </c>
      <c r="J82">
        <f t="shared" si="8"/>
        <v>0</v>
      </c>
      <c r="L82">
        <f t="shared" si="9"/>
        <v>0</v>
      </c>
    </row>
    <row r="83" spans="1:12" x14ac:dyDescent="0.25">
      <c r="A83">
        <v>1740</v>
      </c>
      <c r="B83" t="s">
        <v>9</v>
      </c>
      <c r="C83" t="s">
        <v>70</v>
      </c>
      <c r="D83" t="s">
        <v>35</v>
      </c>
      <c r="H83">
        <f>200*1089</f>
        <v>217800</v>
      </c>
      <c r="I83" t="s">
        <v>142</v>
      </c>
      <c r="J83">
        <f t="shared" si="8"/>
        <v>217800</v>
      </c>
      <c r="L83">
        <f t="shared" si="9"/>
        <v>97.232142857142861</v>
      </c>
    </row>
    <row r="84" spans="1:12" x14ac:dyDescent="0.25">
      <c r="A84">
        <v>1740</v>
      </c>
      <c r="B84" t="s">
        <v>10</v>
      </c>
      <c r="C84" t="s">
        <v>70</v>
      </c>
      <c r="D84" t="s">
        <v>35</v>
      </c>
      <c r="F84">
        <v>4684</v>
      </c>
      <c r="H84">
        <v>24</v>
      </c>
      <c r="J84">
        <f t="shared" si="8"/>
        <v>524632</v>
      </c>
      <c r="L84">
        <f t="shared" si="9"/>
        <v>234.21071428571429</v>
      </c>
    </row>
    <row r="85" spans="1:12" x14ac:dyDescent="0.25">
      <c r="A85">
        <v>1740</v>
      </c>
      <c r="B85" t="s">
        <v>11</v>
      </c>
      <c r="C85" t="s">
        <v>70</v>
      </c>
      <c r="D85" t="s">
        <v>35</v>
      </c>
      <c r="F85">
        <v>148</v>
      </c>
      <c r="G85">
        <v>3</v>
      </c>
      <c r="H85">
        <v>10</v>
      </c>
      <c r="J85">
        <f t="shared" si="8"/>
        <v>16670</v>
      </c>
      <c r="L85">
        <f t="shared" si="9"/>
        <v>7.4419642857142856</v>
      </c>
    </row>
    <row r="86" spans="1:12" x14ac:dyDescent="0.25">
      <c r="A86">
        <v>1740</v>
      </c>
      <c r="B86" t="s">
        <v>41</v>
      </c>
      <c r="C86" t="s">
        <v>70</v>
      </c>
      <c r="D86" t="s">
        <v>35</v>
      </c>
      <c r="J86">
        <f t="shared" si="8"/>
        <v>0</v>
      </c>
      <c r="L86">
        <f t="shared" si="9"/>
        <v>0</v>
      </c>
    </row>
    <row r="87" spans="1:12" x14ac:dyDescent="0.25">
      <c r="A87">
        <v>1740</v>
      </c>
      <c r="B87" t="s">
        <v>82</v>
      </c>
      <c r="C87" t="s">
        <v>70</v>
      </c>
      <c r="D87" t="s">
        <v>35</v>
      </c>
      <c r="J87">
        <f t="shared" si="8"/>
        <v>0</v>
      </c>
      <c r="L87">
        <f t="shared" si="9"/>
        <v>0</v>
      </c>
    </row>
    <row r="88" spans="1:12" x14ac:dyDescent="0.25">
      <c r="A88">
        <v>1740</v>
      </c>
      <c r="B88" t="s">
        <v>83</v>
      </c>
      <c r="C88" t="s">
        <v>70</v>
      </c>
      <c r="D88" t="s">
        <v>35</v>
      </c>
      <c r="J88">
        <f t="shared" si="8"/>
        <v>0</v>
      </c>
      <c r="L88">
        <f t="shared" si="9"/>
        <v>0</v>
      </c>
    </row>
    <row r="89" spans="1:12" x14ac:dyDescent="0.25">
      <c r="A89">
        <v>1740</v>
      </c>
      <c r="B89" t="s">
        <v>46</v>
      </c>
      <c r="C89" t="s">
        <v>70</v>
      </c>
      <c r="D89" t="s">
        <v>35</v>
      </c>
      <c r="J89">
        <f t="shared" si="8"/>
        <v>0</v>
      </c>
      <c r="L89">
        <f t="shared" si="9"/>
        <v>0</v>
      </c>
    </row>
    <row r="90" spans="1:12" x14ac:dyDescent="0.25">
      <c r="A90">
        <v>1740</v>
      </c>
      <c r="B90" t="s">
        <v>12</v>
      </c>
      <c r="C90" t="s">
        <v>70</v>
      </c>
      <c r="D90" t="s">
        <v>35</v>
      </c>
      <c r="H90">
        <v>11171</v>
      </c>
      <c r="J90">
        <f t="shared" si="8"/>
        <v>11171</v>
      </c>
      <c r="L90">
        <f t="shared" si="9"/>
        <v>4.9870535714285715</v>
      </c>
    </row>
    <row r="91" spans="1:12" x14ac:dyDescent="0.25">
      <c r="A91">
        <v>1740</v>
      </c>
      <c r="B91" t="s">
        <v>86</v>
      </c>
      <c r="C91" t="s">
        <v>70</v>
      </c>
      <c r="D91" t="s">
        <v>35</v>
      </c>
      <c r="J91">
        <f t="shared" si="8"/>
        <v>0</v>
      </c>
      <c r="L91">
        <f t="shared" si="9"/>
        <v>0</v>
      </c>
    </row>
    <row r="92" spans="1:12" x14ac:dyDescent="0.25">
      <c r="A92">
        <v>1740</v>
      </c>
      <c r="B92" t="s">
        <v>34</v>
      </c>
      <c r="C92" t="s">
        <v>70</v>
      </c>
      <c r="D92" t="s">
        <v>35</v>
      </c>
      <c r="J92">
        <f t="shared" si="8"/>
        <v>0</v>
      </c>
      <c r="L92">
        <f t="shared" si="9"/>
        <v>0</v>
      </c>
    </row>
    <row r="93" spans="1:12" x14ac:dyDescent="0.25">
      <c r="A93">
        <v>1740</v>
      </c>
      <c r="B93" t="s">
        <v>13</v>
      </c>
      <c r="C93" t="s">
        <v>70</v>
      </c>
      <c r="D93" t="s">
        <v>35</v>
      </c>
      <c r="E93">
        <v>1</v>
      </c>
      <c r="F93">
        <v>10</v>
      </c>
      <c r="J93">
        <f t="shared" si="8"/>
        <v>3360</v>
      </c>
      <c r="L93">
        <f t="shared" si="9"/>
        <v>1.5</v>
      </c>
    </row>
    <row r="94" spans="1:12" x14ac:dyDescent="0.25">
      <c r="A94">
        <v>1740</v>
      </c>
      <c r="B94" t="s">
        <v>14</v>
      </c>
      <c r="C94" t="s">
        <v>70</v>
      </c>
      <c r="D94" t="s">
        <v>35</v>
      </c>
      <c r="J94">
        <f t="shared" si="8"/>
        <v>0</v>
      </c>
      <c r="L94">
        <f t="shared" si="9"/>
        <v>0</v>
      </c>
    </row>
    <row r="95" spans="1:12" x14ac:dyDescent="0.25">
      <c r="A95">
        <v>1740</v>
      </c>
      <c r="B95" t="s">
        <v>23</v>
      </c>
      <c r="C95" t="s">
        <v>70</v>
      </c>
      <c r="D95" t="s">
        <v>35</v>
      </c>
      <c r="J95">
        <f t="shared" si="8"/>
        <v>0</v>
      </c>
      <c r="L95">
        <f t="shared" si="9"/>
        <v>0</v>
      </c>
    </row>
    <row r="96" spans="1:12" x14ac:dyDescent="0.25">
      <c r="A96">
        <v>1740</v>
      </c>
      <c r="B96" t="s">
        <v>27</v>
      </c>
      <c r="C96" t="s">
        <v>70</v>
      </c>
      <c r="D96" t="s">
        <v>35</v>
      </c>
      <c r="H96">
        <v>15263</v>
      </c>
      <c r="I96" t="s">
        <v>141</v>
      </c>
      <c r="J96">
        <f t="shared" si="8"/>
        <v>15263</v>
      </c>
      <c r="L96">
        <f t="shared" si="9"/>
        <v>6.8138392857142858</v>
      </c>
    </row>
    <row r="97" spans="1:12" x14ac:dyDescent="0.25">
      <c r="A97">
        <v>1740</v>
      </c>
      <c r="B97" t="s">
        <v>15</v>
      </c>
      <c r="C97" t="s">
        <v>70</v>
      </c>
      <c r="D97" t="s">
        <v>35</v>
      </c>
      <c r="J97">
        <f t="shared" si="8"/>
        <v>0</v>
      </c>
      <c r="L97">
        <f t="shared" si="9"/>
        <v>0</v>
      </c>
    </row>
    <row r="98" spans="1:12" x14ac:dyDescent="0.25">
      <c r="A98">
        <v>1740</v>
      </c>
      <c r="B98" t="s">
        <v>98</v>
      </c>
      <c r="C98" t="s">
        <v>70</v>
      </c>
      <c r="D98" t="s">
        <v>35</v>
      </c>
      <c r="J98">
        <f t="shared" si="8"/>
        <v>0</v>
      </c>
      <c r="L98">
        <f t="shared" si="9"/>
        <v>0</v>
      </c>
    </row>
    <row r="99" spans="1:12" x14ac:dyDescent="0.25">
      <c r="A99">
        <v>1740</v>
      </c>
      <c r="B99" t="s">
        <v>44</v>
      </c>
      <c r="C99" t="s">
        <v>70</v>
      </c>
      <c r="D99" t="s">
        <v>35</v>
      </c>
      <c r="J99">
        <f t="shared" si="8"/>
        <v>0</v>
      </c>
      <c r="L99">
        <f t="shared" si="9"/>
        <v>0</v>
      </c>
    </row>
    <row r="100" spans="1:12" x14ac:dyDescent="0.25">
      <c r="A100">
        <v>1740</v>
      </c>
      <c r="B100" t="s">
        <v>87</v>
      </c>
      <c r="C100" t="s">
        <v>70</v>
      </c>
      <c r="D100" t="s">
        <v>35</v>
      </c>
      <c r="J100">
        <f t="shared" si="8"/>
        <v>0</v>
      </c>
      <c r="L100">
        <f t="shared" si="9"/>
        <v>0</v>
      </c>
    </row>
    <row r="101" spans="1:12" x14ac:dyDescent="0.25">
      <c r="A101">
        <v>1740</v>
      </c>
      <c r="B101" t="s">
        <v>49</v>
      </c>
      <c r="C101" t="s">
        <v>70</v>
      </c>
      <c r="D101" t="s">
        <v>35</v>
      </c>
      <c r="H101">
        <v>10</v>
      </c>
      <c r="I101" t="s">
        <v>139</v>
      </c>
      <c r="J101">
        <f t="shared" si="8"/>
        <v>10</v>
      </c>
      <c r="L101">
        <f t="shared" si="9"/>
        <v>4.464285714285714E-3</v>
      </c>
    </row>
    <row r="102" spans="1:12" x14ac:dyDescent="0.25">
      <c r="A102">
        <v>1740</v>
      </c>
      <c r="B102" t="s">
        <v>16</v>
      </c>
      <c r="C102" t="s">
        <v>70</v>
      </c>
      <c r="D102" t="s">
        <v>35</v>
      </c>
      <c r="H102">
        <v>100431</v>
      </c>
      <c r="J102">
        <f t="shared" si="8"/>
        <v>100431</v>
      </c>
      <c r="L102">
        <f t="shared" si="9"/>
        <v>44.83526785714286</v>
      </c>
    </row>
    <row r="103" spans="1:12" x14ac:dyDescent="0.25">
      <c r="A103">
        <v>1740</v>
      </c>
      <c r="B103" t="s">
        <v>17</v>
      </c>
      <c r="C103" t="s">
        <v>70</v>
      </c>
      <c r="D103" t="s">
        <v>35</v>
      </c>
      <c r="J103">
        <f t="shared" si="8"/>
        <v>0</v>
      </c>
      <c r="L103">
        <f t="shared" si="9"/>
        <v>0</v>
      </c>
    </row>
    <row r="104" spans="1:12" x14ac:dyDescent="0.25">
      <c r="A104">
        <v>1740</v>
      </c>
      <c r="B104" t="s">
        <v>18</v>
      </c>
      <c r="C104" t="s">
        <v>70</v>
      </c>
      <c r="D104" t="s">
        <v>35</v>
      </c>
      <c r="H104">
        <v>412321</v>
      </c>
      <c r="I104" t="s">
        <v>140</v>
      </c>
      <c r="J104">
        <f t="shared" si="8"/>
        <v>412321</v>
      </c>
      <c r="L104">
        <f t="shared" si="9"/>
        <v>184.07187500000001</v>
      </c>
    </row>
    <row r="105" spans="1:12" x14ac:dyDescent="0.25">
      <c r="A105">
        <v>1740</v>
      </c>
      <c r="B105" t="s">
        <v>26</v>
      </c>
      <c r="C105" t="s">
        <v>70</v>
      </c>
      <c r="D105" t="s">
        <v>35</v>
      </c>
      <c r="J105">
        <f t="shared" si="8"/>
        <v>0</v>
      </c>
      <c r="L105">
        <f t="shared" si="9"/>
        <v>0</v>
      </c>
    </row>
    <row r="106" spans="1:12" x14ac:dyDescent="0.25">
      <c r="A106">
        <v>1740</v>
      </c>
      <c r="B106" t="s">
        <v>88</v>
      </c>
      <c r="C106" t="s">
        <v>70</v>
      </c>
      <c r="D106" t="s">
        <v>35</v>
      </c>
      <c r="J106">
        <f t="shared" si="8"/>
        <v>0</v>
      </c>
      <c r="L106">
        <f t="shared" si="9"/>
        <v>0</v>
      </c>
    </row>
    <row r="107" spans="1:12" x14ac:dyDescent="0.25">
      <c r="A107">
        <v>1740</v>
      </c>
      <c r="B107" t="s">
        <v>19</v>
      </c>
      <c r="C107" t="s">
        <v>70</v>
      </c>
      <c r="D107" t="s">
        <v>35</v>
      </c>
      <c r="F107">
        <v>47</v>
      </c>
      <c r="G107">
        <v>2</v>
      </c>
      <c r="H107">
        <v>1</v>
      </c>
      <c r="J107">
        <f t="shared" si="8"/>
        <v>5321</v>
      </c>
      <c r="L107">
        <f t="shared" si="9"/>
        <v>2.3754464285714287</v>
      </c>
    </row>
    <row r="108" spans="1:12" x14ac:dyDescent="0.25">
      <c r="A108">
        <v>1740</v>
      </c>
      <c r="B108" t="s">
        <v>47</v>
      </c>
      <c r="C108" t="s">
        <v>70</v>
      </c>
      <c r="D108" t="s">
        <v>35</v>
      </c>
      <c r="J108">
        <f t="shared" si="8"/>
        <v>0</v>
      </c>
      <c r="L108">
        <f t="shared" si="9"/>
        <v>0</v>
      </c>
    </row>
    <row r="109" spans="1:12" x14ac:dyDescent="0.25">
      <c r="A109">
        <v>1740</v>
      </c>
      <c r="B109" t="s">
        <v>89</v>
      </c>
      <c r="C109" t="s">
        <v>70</v>
      </c>
      <c r="D109" t="s">
        <v>35</v>
      </c>
      <c r="J109">
        <f t="shared" si="8"/>
        <v>0</v>
      </c>
      <c r="L109">
        <f t="shared" si="9"/>
        <v>0</v>
      </c>
    </row>
    <row r="110" spans="1:12" x14ac:dyDescent="0.25">
      <c r="A110">
        <v>1740</v>
      </c>
      <c r="B110" t="s">
        <v>56</v>
      </c>
      <c r="C110" t="s">
        <v>70</v>
      </c>
      <c r="D110" t="s">
        <v>35</v>
      </c>
      <c r="H110">
        <v>150</v>
      </c>
      <c r="J110">
        <f t="shared" si="8"/>
        <v>150</v>
      </c>
      <c r="L110">
        <f t="shared" si="9"/>
        <v>6.6964285714285712E-2</v>
      </c>
    </row>
    <row r="111" spans="1:12" x14ac:dyDescent="0.25">
      <c r="A111">
        <v>1740</v>
      </c>
      <c r="B111" t="s">
        <v>90</v>
      </c>
      <c r="C111" t="s">
        <v>70</v>
      </c>
      <c r="D111" t="s">
        <v>35</v>
      </c>
      <c r="H111">
        <v>24</v>
      </c>
      <c r="J111">
        <f t="shared" si="8"/>
        <v>24</v>
      </c>
      <c r="L111">
        <f t="shared" si="9"/>
        <v>1.0714285714285714E-2</v>
      </c>
    </row>
    <row r="112" spans="1:12" x14ac:dyDescent="0.25">
      <c r="A112">
        <v>1740</v>
      </c>
      <c r="B112" t="s">
        <v>20</v>
      </c>
      <c r="C112" t="s">
        <v>70</v>
      </c>
      <c r="D112" t="s">
        <v>35</v>
      </c>
      <c r="J112">
        <f t="shared" si="8"/>
        <v>0</v>
      </c>
      <c r="L112">
        <f t="shared" si="9"/>
        <v>0</v>
      </c>
    </row>
    <row r="113" spans="1:12" x14ac:dyDescent="0.25">
      <c r="A113">
        <v>1740</v>
      </c>
      <c r="B113" t="s">
        <v>21</v>
      </c>
      <c r="C113" t="s">
        <v>70</v>
      </c>
      <c r="D113" t="s">
        <v>35</v>
      </c>
      <c r="H113">
        <v>122</v>
      </c>
      <c r="J113">
        <f t="shared" si="8"/>
        <v>122</v>
      </c>
      <c r="L113">
        <f t="shared" si="9"/>
        <v>5.4464285714285715E-2</v>
      </c>
    </row>
    <row r="114" spans="1:12" x14ac:dyDescent="0.25">
      <c r="A114">
        <v>1740</v>
      </c>
      <c r="B114" t="s">
        <v>22</v>
      </c>
      <c r="C114" t="s">
        <v>70</v>
      </c>
      <c r="D114" t="s">
        <v>35</v>
      </c>
      <c r="J114">
        <f t="shared" si="8"/>
        <v>0</v>
      </c>
      <c r="L114">
        <f t="shared" si="9"/>
        <v>0</v>
      </c>
    </row>
    <row r="115" spans="1:12" x14ac:dyDescent="0.25">
      <c r="A115">
        <v>1740</v>
      </c>
      <c r="B115" t="s">
        <v>63</v>
      </c>
      <c r="C115" t="s">
        <v>70</v>
      </c>
      <c r="D115" t="s">
        <v>35</v>
      </c>
      <c r="J115">
        <f t="shared" si="8"/>
        <v>0</v>
      </c>
      <c r="L115">
        <f t="shared" si="9"/>
        <v>0</v>
      </c>
    </row>
    <row r="116" spans="1:12" x14ac:dyDescent="0.25">
      <c r="A116">
        <v>1740</v>
      </c>
      <c r="B116" t="s">
        <v>96</v>
      </c>
      <c r="C116" t="s">
        <v>70</v>
      </c>
      <c r="D116" t="s">
        <v>35</v>
      </c>
      <c r="J116">
        <f t="shared" si="8"/>
        <v>0</v>
      </c>
      <c r="L116">
        <f t="shared" si="9"/>
        <v>0</v>
      </c>
    </row>
    <row r="117" spans="1:12" x14ac:dyDescent="0.25">
      <c r="A117">
        <v>1740</v>
      </c>
      <c r="B117" t="s">
        <v>91</v>
      </c>
      <c r="C117" t="s">
        <v>70</v>
      </c>
      <c r="D117" t="s">
        <v>35</v>
      </c>
      <c r="F117">
        <v>5</v>
      </c>
      <c r="J117">
        <f t="shared" si="8"/>
        <v>560</v>
      </c>
      <c r="L117">
        <f t="shared" si="9"/>
        <v>0.25</v>
      </c>
    </row>
    <row r="118" spans="1:12" x14ac:dyDescent="0.25">
      <c r="A118">
        <v>1740</v>
      </c>
      <c r="B118" t="s">
        <v>64</v>
      </c>
      <c r="C118" t="s">
        <v>70</v>
      </c>
      <c r="D118" t="s">
        <v>35</v>
      </c>
      <c r="E118">
        <v>67</v>
      </c>
      <c r="F118">
        <v>17</v>
      </c>
      <c r="G118">
        <v>3</v>
      </c>
      <c r="H118">
        <v>28</v>
      </c>
      <c r="J118">
        <f t="shared" si="8"/>
        <v>152096</v>
      </c>
      <c r="L118">
        <f t="shared" si="9"/>
        <v>67.900000000000006</v>
      </c>
    </row>
    <row r="119" spans="1:12" x14ac:dyDescent="0.25">
      <c r="A119">
        <v>1740</v>
      </c>
      <c r="B119" t="s">
        <v>92</v>
      </c>
      <c r="C119" t="s">
        <v>70</v>
      </c>
      <c r="D119" t="s">
        <v>35</v>
      </c>
      <c r="J119">
        <f t="shared" si="8"/>
        <v>0</v>
      </c>
      <c r="L119">
        <f t="shared" si="9"/>
        <v>0</v>
      </c>
    </row>
    <row r="120" spans="1:12" x14ac:dyDescent="0.25">
      <c r="A120">
        <v>1740</v>
      </c>
      <c r="B120" t="s">
        <v>65</v>
      </c>
      <c r="C120" t="s">
        <v>70</v>
      </c>
      <c r="D120" t="s">
        <v>35</v>
      </c>
      <c r="E120">
        <v>60</v>
      </c>
      <c r="F120">
        <v>11</v>
      </c>
      <c r="G120">
        <v>1</v>
      </c>
      <c r="H120">
        <v>6</v>
      </c>
      <c r="J120">
        <f t="shared" si="8"/>
        <v>135666</v>
      </c>
      <c r="L120">
        <f t="shared" si="9"/>
        <v>60.565178571428568</v>
      </c>
    </row>
    <row r="121" spans="1:12" x14ac:dyDescent="0.25">
      <c r="A121">
        <v>1740</v>
      </c>
      <c r="B121" t="s">
        <v>93</v>
      </c>
      <c r="C121" t="s">
        <v>70</v>
      </c>
      <c r="D121" t="s">
        <v>35</v>
      </c>
      <c r="E121">
        <v>79</v>
      </c>
      <c r="F121">
        <v>13</v>
      </c>
      <c r="G121">
        <v>2</v>
      </c>
      <c r="H121">
        <v>23</v>
      </c>
      <c r="J121">
        <f t="shared" si="8"/>
        <v>178495</v>
      </c>
      <c r="L121">
        <f t="shared" si="9"/>
        <v>79.685267857142861</v>
      </c>
    </row>
    <row r="122" spans="1:12" x14ac:dyDescent="0.25">
      <c r="A122">
        <v>1740</v>
      </c>
      <c r="B122" t="s">
        <v>73</v>
      </c>
      <c r="C122" t="s">
        <v>70</v>
      </c>
      <c r="D122" t="s">
        <v>35</v>
      </c>
      <c r="E122">
        <v>51</v>
      </c>
      <c r="F122">
        <v>3</v>
      </c>
      <c r="G122">
        <v>3</v>
      </c>
      <c r="H122">
        <v>15</v>
      </c>
      <c r="J122">
        <f t="shared" si="8"/>
        <v>114675</v>
      </c>
      <c r="L122">
        <f t="shared" si="9"/>
        <v>51.194196428571431</v>
      </c>
    </row>
    <row r="123" spans="1:12" x14ac:dyDescent="0.25">
      <c r="A123">
        <v>1740</v>
      </c>
      <c r="B123" t="s">
        <v>66</v>
      </c>
      <c r="C123" t="s">
        <v>70</v>
      </c>
      <c r="D123" t="s">
        <v>35</v>
      </c>
      <c r="E123">
        <v>31</v>
      </c>
      <c r="F123">
        <v>6</v>
      </c>
      <c r="G123">
        <v>1</v>
      </c>
      <c r="H123">
        <v>5</v>
      </c>
      <c r="J123">
        <f t="shared" si="8"/>
        <v>70145</v>
      </c>
      <c r="L123">
        <f t="shared" si="9"/>
        <v>31.314732142857142</v>
      </c>
    </row>
    <row r="124" spans="1:12" x14ac:dyDescent="0.25">
      <c r="A124">
        <v>1740</v>
      </c>
      <c r="B124" t="s">
        <v>67</v>
      </c>
      <c r="C124" t="s">
        <v>70</v>
      </c>
      <c r="D124" t="s">
        <v>35</v>
      </c>
      <c r="J124">
        <f t="shared" si="8"/>
        <v>0</v>
      </c>
      <c r="L124">
        <f t="shared" si="9"/>
        <v>0</v>
      </c>
    </row>
  </sheetData>
  <autoFilter ref="A1:O61" xr:uid="{8C2F7725-5A61-4A1B-A740-CC887BCB0E68}">
    <sortState xmlns:xlrd2="http://schemas.microsoft.com/office/spreadsheetml/2017/richdata2" ref="A2:O61">
      <sortCondition ref="B1:B6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7"/>
  <sheetViews>
    <sheetView topLeftCell="A19" workbookViewId="0">
      <selection activeCell="H53" sqref="H5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1740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1740</v>
      </c>
      <c r="B3" t="s">
        <v>59</v>
      </c>
      <c r="C3" t="s">
        <v>75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1740</v>
      </c>
      <c r="B4" t="s">
        <v>38</v>
      </c>
      <c r="C4" t="s">
        <v>75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1740</v>
      </c>
      <c r="B5" t="s">
        <v>4</v>
      </c>
      <c r="C5" t="s">
        <v>75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1740</v>
      </c>
      <c r="B6" t="s">
        <v>60</v>
      </c>
      <c r="C6" t="s">
        <v>75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1740</v>
      </c>
      <c r="B7" t="s">
        <v>71</v>
      </c>
      <c r="C7" t="s">
        <v>75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1740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1740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1740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1740</v>
      </c>
      <c r="B11" t="s">
        <v>6</v>
      </c>
      <c r="C11" t="s">
        <v>75</v>
      </c>
      <c r="D11" t="s">
        <v>33</v>
      </c>
      <c r="F11">
        <v>35813</v>
      </c>
      <c r="G11">
        <v>1</v>
      </c>
      <c r="H11">
        <v>16</v>
      </c>
      <c r="J11">
        <f t="shared" si="0"/>
        <v>4011100</v>
      </c>
      <c r="L11">
        <f t="shared" si="1"/>
        <v>1790.6696428571429</v>
      </c>
    </row>
    <row r="12" spans="1:12" x14ac:dyDescent="0.25">
      <c r="A12">
        <v>1740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1740</v>
      </c>
      <c r="B13" t="s">
        <v>40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1740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1740</v>
      </c>
      <c r="B15" t="s">
        <v>8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1740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1740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1740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1740</v>
      </c>
      <c r="B19" t="s">
        <v>9</v>
      </c>
      <c r="C19" t="s">
        <v>75</v>
      </c>
      <c r="D19" t="s">
        <v>33</v>
      </c>
      <c r="H19">
        <f>200*143</f>
        <v>28600</v>
      </c>
      <c r="I19" t="s">
        <v>125</v>
      </c>
      <c r="J19">
        <f t="shared" si="0"/>
        <v>28600</v>
      </c>
      <c r="L19">
        <f t="shared" si="1"/>
        <v>12.767857142857142</v>
      </c>
    </row>
    <row r="20" spans="1:12" x14ac:dyDescent="0.25">
      <c r="A20">
        <v>1740</v>
      </c>
      <c r="B20" t="s">
        <v>10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1740</v>
      </c>
      <c r="B21" t="s">
        <v>11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1740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1740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1740</v>
      </c>
      <c r="B24" t="s">
        <v>12</v>
      </c>
      <c r="C24" t="s">
        <v>75</v>
      </c>
      <c r="D24" t="s">
        <v>33</v>
      </c>
      <c r="H24">
        <v>4655</v>
      </c>
      <c r="J24">
        <f t="shared" si="0"/>
        <v>4655</v>
      </c>
      <c r="L24">
        <f t="shared" si="1"/>
        <v>2.078125</v>
      </c>
    </row>
    <row r="25" spans="1:12" x14ac:dyDescent="0.25">
      <c r="A25">
        <v>1740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1740</v>
      </c>
      <c r="B26" t="s">
        <v>13</v>
      </c>
      <c r="C26" t="s">
        <v>75</v>
      </c>
      <c r="D26" t="s">
        <v>33</v>
      </c>
      <c r="J26">
        <f t="shared" ref="J26:J66" si="2">(E26*2240)+(F26*112)+(G26*28)+H26</f>
        <v>0</v>
      </c>
      <c r="L26">
        <f t="shared" si="1"/>
        <v>0</v>
      </c>
    </row>
    <row r="27" spans="1:12" x14ac:dyDescent="0.25">
      <c r="A27">
        <v>1740</v>
      </c>
      <c r="B27" t="s">
        <v>14</v>
      </c>
      <c r="C27" t="s">
        <v>75</v>
      </c>
      <c r="D27" t="s">
        <v>33</v>
      </c>
      <c r="J27">
        <f t="shared" si="2"/>
        <v>0</v>
      </c>
      <c r="L27">
        <f t="shared" si="1"/>
        <v>0</v>
      </c>
    </row>
    <row r="28" spans="1:12" x14ac:dyDescent="0.25">
      <c r="A28">
        <v>1740</v>
      </c>
      <c r="B28" t="s">
        <v>23</v>
      </c>
      <c r="C28" t="s">
        <v>75</v>
      </c>
      <c r="D28" t="s">
        <v>33</v>
      </c>
      <c r="J28">
        <f t="shared" si="2"/>
        <v>0</v>
      </c>
      <c r="L28">
        <f t="shared" ref="L28:L66" si="3">J28/2240</f>
        <v>0</v>
      </c>
    </row>
    <row r="29" spans="1:12" x14ac:dyDescent="0.25">
      <c r="A29">
        <v>1740</v>
      </c>
      <c r="B29" t="s">
        <v>27</v>
      </c>
      <c r="C29" t="s">
        <v>75</v>
      </c>
      <c r="D29" t="s">
        <v>33</v>
      </c>
      <c r="J29">
        <f t="shared" si="2"/>
        <v>0</v>
      </c>
      <c r="L29">
        <f t="shared" si="3"/>
        <v>0</v>
      </c>
    </row>
    <row r="30" spans="1:12" x14ac:dyDescent="0.25">
      <c r="A30">
        <v>1740</v>
      </c>
      <c r="B30" t="s">
        <v>15</v>
      </c>
      <c r="C30" t="s">
        <v>75</v>
      </c>
      <c r="D30" t="s">
        <v>33</v>
      </c>
      <c r="F30">
        <v>4</v>
      </c>
      <c r="J30">
        <f t="shared" si="2"/>
        <v>448</v>
      </c>
      <c r="L30">
        <f t="shared" si="3"/>
        <v>0.2</v>
      </c>
    </row>
    <row r="31" spans="1:12" x14ac:dyDescent="0.25">
      <c r="A31">
        <v>1740</v>
      </c>
      <c r="B31" t="s">
        <v>44</v>
      </c>
      <c r="C31" t="s">
        <v>75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1740</v>
      </c>
      <c r="B32" t="s">
        <v>49</v>
      </c>
      <c r="C32" t="s">
        <v>75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1740</v>
      </c>
      <c r="B33" t="s">
        <v>16</v>
      </c>
      <c r="C33" t="s">
        <v>75</v>
      </c>
      <c r="D33" t="s">
        <v>33</v>
      </c>
      <c r="J33">
        <f t="shared" si="2"/>
        <v>0</v>
      </c>
      <c r="L33">
        <f t="shared" si="3"/>
        <v>0</v>
      </c>
    </row>
    <row r="34" spans="1:12" x14ac:dyDescent="0.25">
      <c r="A34">
        <v>1740</v>
      </c>
      <c r="B34" t="s">
        <v>17</v>
      </c>
      <c r="C34" t="s">
        <v>75</v>
      </c>
      <c r="D34" t="s">
        <v>33</v>
      </c>
      <c r="J34">
        <f t="shared" si="2"/>
        <v>0</v>
      </c>
      <c r="L34">
        <f t="shared" si="3"/>
        <v>0</v>
      </c>
    </row>
    <row r="35" spans="1:12" x14ac:dyDescent="0.25">
      <c r="A35">
        <v>1740</v>
      </c>
      <c r="B35" t="s">
        <v>18</v>
      </c>
      <c r="C35" t="s">
        <v>75</v>
      </c>
      <c r="D35" t="s">
        <v>33</v>
      </c>
      <c r="H35">
        <v>96175</v>
      </c>
      <c r="I35" t="s">
        <v>124</v>
      </c>
      <c r="J35">
        <f t="shared" si="2"/>
        <v>96175</v>
      </c>
      <c r="L35">
        <f t="shared" si="3"/>
        <v>42.935267857142854</v>
      </c>
    </row>
    <row r="36" spans="1:12" x14ac:dyDescent="0.25">
      <c r="A36">
        <v>1740</v>
      </c>
      <c r="B36" t="s">
        <v>72</v>
      </c>
      <c r="C36" t="s">
        <v>75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1740</v>
      </c>
      <c r="B37" t="s">
        <v>19</v>
      </c>
      <c r="C37" t="s">
        <v>75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1740</v>
      </c>
      <c r="B38" t="s">
        <v>47</v>
      </c>
      <c r="C38" t="s">
        <v>75</v>
      </c>
      <c r="D38" t="s">
        <v>33</v>
      </c>
      <c r="J38">
        <f t="shared" si="2"/>
        <v>0</v>
      </c>
      <c r="L38">
        <f t="shared" si="3"/>
        <v>0</v>
      </c>
    </row>
    <row r="39" spans="1:12" x14ac:dyDescent="0.25">
      <c r="A39">
        <v>1740</v>
      </c>
      <c r="B39" t="s">
        <v>56</v>
      </c>
      <c r="C39" t="s">
        <v>75</v>
      </c>
      <c r="D39" t="s">
        <v>33</v>
      </c>
      <c r="H39">
        <v>3</v>
      </c>
      <c r="J39">
        <f t="shared" si="2"/>
        <v>3</v>
      </c>
      <c r="L39">
        <f t="shared" si="3"/>
        <v>1.3392857142857143E-3</v>
      </c>
    </row>
    <row r="40" spans="1:12" x14ac:dyDescent="0.25">
      <c r="A40">
        <v>1740</v>
      </c>
      <c r="B40" t="s">
        <v>20</v>
      </c>
      <c r="C40" t="s">
        <v>75</v>
      </c>
      <c r="D40" t="s">
        <v>33</v>
      </c>
      <c r="J40">
        <f t="shared" si="2"/>
        <v>0</v>
      </c>
      <c r="L40">
        <f t="shared" si="3"/>
        <v>0</v>
      </c>
    </row>
    <row r="41" spans="1:12" x14ac:dyDescent="0.25">
      <c r="A41">
        <v>1740</v>
      </c>
      <c r="B41" t="s">
        <v>21</v>
      </c>
      <c r="C41" t="s">
        <v>75</v>
      </c>
      <c r="D41" t="s">
        <v>33</v>
      </c>
      <c r="J41">
        <f t="shared" si="2"/>
        <v>0</v>
      </c>
      <c r="L41">
        <f t="shared" si="3"/>
        <v>0</v>
      </c>
    </row>
    <row r="42" spans="1:12" x14ac:dyDescent="0.25">
      <c r="A42">
        <v>1740</v>
      </c>
      <c r="B42" t="s">
        <v>22</v>
      </c>
      <c r="C42" t="s">
        <v>75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1740</v>
      </c>
      <c r="B43" t="s">
        <v>63</v>
      </c>
      <c r="C43" t="s">
        <v>75</v>
      </c>
      <c r="D43" t="s">
        <v>33</v>
      </c>
      <c r="J43">
        <f t="shared" si="2"/>
        <v>0</v>
      </c>
      <c r="L43">
        <f t="shared" si="3"/>
        <v>0</v>
      </c>
    </row>
    <row r="44" spans="1:12" x14ac:dyDescent="0.25">
      <c r="A44">
        <v>1740</v>
      </c>
      <c r="B44" t="s">
        <v>64</v>
      </c>
      <c r="C44" t="s">
        <v>75</v>
      </c>
      <c r="D44" t="s">
        <v>33</v>
      </c>
      <c r="E44">
        <v>3</v>
      </c>
      <c r="J44">
        <f t="shared" si="2"/>
        <v>6720</v>
      </c>
      <c r="L44">
        <f t="shared" si="3"/>
        <v>3</v>
      </c>
    </row>
    <row r="45" spans="1:12" x14ac:dyDescent="0.25">
      <c r="A45">
        <v>1740</v>
      </c>
      <c r="B45" t="s">
        <v>65</v>
      </c>
      <c r="C45" t="s">
        <v>75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1740</v>
      </c>
      <c r="B46" t="s">
        <v>73</v>
      </c>
      <c r="C46" t="s">
        <v>75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1740</v>
      </c>
      <c r="B47" t="s">
        <v>66</v>
      </c>
      <c r="C47" t="s">
        <v>75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1740</v>
      </c>
      <c r="B48" t="s">
        <v>67</v>
      </c>
      <c r="C48" t="s">
        <v>75</v>
      </c>
      <c r="D48" t="s">
        <v>33</v>
      </c>
      <c r="J48">
        <f t="shared" si="2"/>
        <v>0</v>
      </c>
      <c r="L48">
        <f t="shared" si="3"/>
        <v>0</v>
      </c>
    </row>
    <row r="49" spans="1:12" x14ac:dyDescent="0.25">
      <c r="A49">
        <v>1740</v>
      </c>
      <c r="B49" t="s">
        <v>6</v>
      </c>
      <c r="C49" t="s">
        <v>75</v>
      </c>
      <c r="D49" t="s">
        <v>35</v>
      </c>
      <c r="F49">
        <v>11401</v>
      </c>
      <c r="G49">
        <v>2</v>
      </c>
      <c r="H49">
        <v>8</v>
      </c>
      <c r="J49">
        <f t="shared" si="2"/>
        <v>1276976</v>
      </c>
      <c r="L49">
        <f t="shared" si="3"/>
        <v>570.07857142857142</v>
      </c>
    </row>
    <row r="50" spans="1:12" x14ac:dyDescent="0.25">
      <c r="A50">
        <v>1740</v>
      </c>
      <c r="B50" t="s">
        <v>7</v>
      </c>
      <c r="C50" t="s">
        <v>75</v>
      </c>
      <c r="D50" t="s">
        <v>35</v>
      </c>
      <c r="J50">
        <f t="shared" si="2"/>
        <v>0</v>
      </c>
      <c r="L50">
        <f t="shared" si="3"/>
        <v>0</v>
      </c>
    </row>
    <row r="51" spans="1:12" x14ac:dyDescent="0.25">
      <c r="A51">
        <v>1740</v>
      </c>
      <c r="B51" t="s">
        <v>8</v>
      </c>
      <c r="C51" t="s">
        <v>75</v>
      </c>
      <c r="D51" t="s">
        <v>35</v>
      </c>
      <c r="J51">
        <f t="shared" si="2"/>
        <v>0</v>
      </c>
      <c r="L51">
        <f t="shared" si="3"/>
        <v>0</v>
      </c>
    </row>
    <row r="52" spans="1:12" x14ac:dyDescent="0.25">
      <c r="A52">
        <v>1740</v>
      </c>
      <c r="B52" t="s">
        <v>9</v>
      </c>
      <c r="C52" t="s">
        <v>75</v>
      </c>
      <c r="D52" t="s">
        <v>35</v>
      </c>
      <c r="H52">
        <f>200*229.25</f>
        <v>45850</v>
      </c>
      <c r="I52" t="s">
        <v>147</v>
      </c>
      <c r="J52">
        <f t="shared" si="2"/>
        <v>45850</v>
      </c>
      <c r="L52">
        <f t="shared" si="3"/>
        <v>20.46875</v>
      </c>
    </row>
    <row r="53" spans="1:12" x14ac:dyDescent="0.25">
      <c r="A53">
        <v>1740</v>
      </c>
      <c r="B53" t="s">
        <v>10</v>
      </c>
      <c r="C53" t="s">
        <v>75</v>
      </c>
      <c r="D53" t="s">
        <v>35</v>
      </c>
      <c r="J53">
        <f t="shared" si="2"/>
        <v>0</v>
      </c>
      <c r="L53">
        <f t="shared" si="3"/>
        <v>0</v>
      </c>
    </row>
    <row r="54" spans="1:12" x14ac:dyDescent="0.25">
      <c r="A54">
        <v>1740</v>
      </c>
      <c r="B54" t="s">
        <v>11</v>
      </c>
      <c r="C54" t="s">
        <v>75</v>
      </c>
      <c r="D54" t="s">
        <v>35</v>
      </c>
      <c r="G54">
        <v>2</v>
      </c>
      <c r="H54">
        <v>22</v>
      </c>
      <c r="J54">
        <f t="shared" si="2"/>
        <v>78</v>
      </c>
      <c r="L54">
        <f t="shared" si="3"/>
        <v>3.4821428571428573E-2</v>
      </c>
    </row>
    <row r="55" spans="1:12" x14ac:dyDescent="0.25">
      <c r="A55">
        <v>1740</v>
      </c>
      <c r="B55" t="s">
        <v>12</v>
      </c>
      <c r="C55" t="s">
        <v>75</v>
      </c>
      <c r="D55" t="s">
        <v>35</v>
      </c>
      <c r="H55">
        <v>4950</v>
      </c>
      <c r="J55">
        <f t="shared" si="2"/>
        <v>4950</v>
      </c>
      <c r="L55">
        <f t="shared" si="3"/>
        <v>2.2098214285714284</v>
      </c>
    </row>
    <row r="56" spans="1:12" x14ac:dyDescent="0.25">
      <c r="A56">
        <v>1740</v>
      </c>
      <c r="B56" t="s">
        <v>13</v>
      </c>
      <c r="C56" t="s">
        <v>75</v>
      </c>
      <c r="D56" t="s">
        <v>35</v>
      </c>
      <c r="J56">
        <f t="shared" si="2"/>
        <v>0</v>
      </c>
      <c r="L56">
        <f t="shared" si="3"/>
        <v>0</v>
      </c>
    </row>
    <row r="57" spans="1:12" x14ac:dyDescent="0.25">
      <c r="A57">
        <v>1740</v>
      </c>
      <c r="B57" t="s">
        <v>14</v>
      </c>
      <c r="C57" t="s">
        <v>75</v>
      </c>
      <c r="D57" t="s">
        <v>35</v>
      </c>
      <c r="H57">
        <v>80</v>
      </c>
      <c r="I57" t="s">
        <v>143</v>
      </c>
      <c r="J57">
        <f t="shared" si="2"/>
        <v>80</v>
      </c>
      <c r="L57">
        <f t="shared" si="3"/>
        <v>3.5714285714285712E-2</v>
      </c>
    </row>
    <row r="58" spans="1:12" x14ac:dyDescent="0.25">
      <c r="A58">
        <v>1740</v>
      </c>
      <c r="B58" t="s">
        <v>27</v>
      </c>
      <c r="C58" t="s">
        <v>75</v>
      </c>
      <c r="D58" t="s">
        <v>35</v>
      </c>
      <c r="H58">
        <v>840</v>
      </c>
      <c r="I58" t="s">
        <v>146</v>
      </c>
      <c r="J58">
        <f t="shared" si="2"/>
        <v>840</v>
      </c>
      <c r="L58">
        <f t="shared" si="3"/>
        <v>0.375</v>
      </c>
    </row>
    <row r="59" spans="1:12" x14ac:dyDescent="0.25">
      <c r="A59">
        <v>1740</v>
      </c>
      <c r="B59" t="s">
        <v>15</v>
      </c>
      <c r="C59" t="s">
        <v>75</v>
      </c>
      <c r="D59" t="s">
        <v>35</v>
      </c>
      <c r="J59">
        <f t="shared" si="2"/>
        <v>0</v>
      </c>
      <c r="L59">
        <f t="shared" si="3"/>
        <v>0</v>
      </c>
    </row>
    <row r="60" spans="1:12" x14ac:dyDescent="0.25">
      <c r="A60">
        <v>1740</v>
      </c>
      <c r="B60" t="s">
        <v>49</v>
      </c>
      <c r="C60" t="s">
        <v>75</v>
      </c>
      <c r="D60" t="s">
        <v>35</v>
      </c>
      <c r="H60">
        <v>60</v>
      </c>
      <c r="I60" t="s">
        <v>144</v>
      </c>
      <c r="J60">
        <f t="shared" si="2"/>
        <v>60</v>
      </c>
      <c r="L60">
        <f t="shared" si="3"/>
        <v>2.6785714285714284E-2</v>
      </c>
    </row>
    <row r="61" spans="1:12" x14ac:dyDescent="0.25">
      <c r="A61">
        <v>1740</v>
      </c>
      <c r="B61" t="s">
        <v>17</v>
      </c>
      <c r="C61" t="s">
        <v>75</v>
      </c>
      <c r="D61" t="s">
        <v>35</v>
      </c>
      <c r="J61">
        <f t="shared" si="2"/>
        <v>0</v>
      </c>
      <c r="L61">
        <f t="shared" si="3"/>
        <v>0</v>
      </c>
    </row>
    <row r="62" spans="1:12" x14ac:dyDescent="0.25">
      <c r="A62">
        <v>1740</v>
      </c>
      <c r="B62" t="s">
        <v>18</v>
      </c>
      <c r="C62" t="s">
        <v>75</v>
      </c>
      <c r="D62" t="s">
        <v>35</v>
      </c>
      <c r="H62">
        <v>18835</v>
      </c>
      <c r="I62" t="s">
        <v>145</v>
      </c>
      <c r="J62">
        <f t="shared" si="2"/>
        <v>18835</v>
      </c>
      <c r="L62">
        <f t="shared" si="3"/>
        <v>8.4084821428571423</v>
      </c>
    </row>
    <row r="63" spans="1:12" x14ac:dyDescent="0.25">
      <c r="A63">
        <v>1740</v>
      </c>
      <c r="B63" t="s">
        <v>19</v>
      </c>
      <c r="C63" t="s">
        <v>75</v>
      </c>
      <c r="D63" t="s">
        <v>35</v>
      </c>
      <c r="J63">
        <f t="shared" si="2"/>
        <v>0</v>
      </c>
      <c r="L63">
        <f t="shared" si="3"/>
        <v>0</v>
      </c>
    </row>
    <row r="64" spans="1:12" x14ac:dyDescent="0.25">
      <c r="A64">
        <v>1740</v>
      </c>
      <c r="B64" t="s">
        <v>56</v>
      </c>
      <c r="C64" t="s">
        <v>75</v>
      </c>
      <c r="D64" t="s">
        <v>35</v>
      </c>
      <c r="H64">
        <v>95</v>
      </c>
      <c r="J64">
        <f t="shared" si="2"/>
        <v>95</v>
      </c>
      <c r="L64">
        <f t="shared" si="3"/>
        <v>4.2410714285714288E-2</v>
      </c>
    </row>
    <row r="65" spans="1:12" x14ac:dyDescent="0.25">
      <c r="A65">
        <v>1740</v>
      </c>
      <c r="B65" t="s">
        <v>21</v>
      </c>
      <c r="C65" t="s">
        <v>75</v>
      </c>
      <c r="D65" t="s">
        <v>35</v>
      </c>
      <c r="J65">
        <f t="shared" si="2"/>
        <v>0</v>
      </c>
      <c r="L65">
        <f t="shared" si="3"/>
        <v>0</v>
      </c>
    </row>
    <row r="66" spans="1:12" x14ac:dyDescent="0.25">
      <c r="A66">
        <v>1740</v>
      </c>
      <c r="B66" t="s">
        <v>22</v>
      </c>
      <c r="C66" t="s">
        <v>75</v>
      </c>
      <c r="D66" t="s">
        <v>35</v>
      </c>
      <c r="J66">
        <f t="shared" si="2"/>
        <v>0</v>
      </c>
      <c r="L66">
        <f t="shared" si="3"/>
        <v>0</v>
      </c>
    </row>
    <row r="67" spans="1:12" x14ac:dyDescent="0.25">
      <c r="A67">
        <v>1740</v>
      </c>
      <c r="B67" t="s">
        <v>64</v>
      </c>
      <c r="C67" t="s">
        <v>75</v>
      </c>
      <c r="D67" t="s">
        <v>35</v>
      </c>
      <c r="J67">
        <f t="shared" ref="J67" si="4">(E67*2240)+(F67*112)+(G67*28)+H67</f>
        <v>0</v>
      </c>
      <c r="L67">
        <f t="shared" ref="L67" si="5">J67/2240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8"/>
  <sheetViews>
    <sheetView topLeftCell="A20" workbookViewId="0">
      <selection activeCell="H54" sqref="H5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1740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1740</v>
      </c>
      <c r="B3" t="s">
        <v>59</v>
      </c>
      <c r="C3" t="s">
        <v>76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1740</v>
      </c>
      <c r="B4" t="s">
        <v>38</v>
      </c>
      <c r="C4" t="s">
        <v>76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1740</v>
      </c>
      <c r="B5" t="s">
        <v>4</v>
      </c>
      <c r="C5" t="s">
        <v>76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1740</v>
      </c>
      <c r="B6" t="s">
        <v>60</v>
      </c>
      <c r="C6" t="s">
        <v>76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1740</v>
      </c>
      <c r="B7" t="s">
        <v>71</v>
      </c>
      <c r="C7" t="s">
        <v>76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1740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1740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1740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1740</v>
      </c>
      <c r="B11" t="s">
        <v>6</v>
      </c>
      <c r="C11" t="s">
        <v>76</v>
      </c>
      <c r="D11" t="s">
        <v>33</v>
      </c>
      <c r="F11">
        <v>19947</v>
      </c>
      <c r="G11">
        <v>2</v>
      </c>
      <c r="H11">
        <v>9</v>
      </c>
      <c r="J11">
        <f t="shared" si="0"/>
        <v>2234129</v>
      </c>
      <c r="L11">
        <f t="shared" si="1"/>
        <v>997.37901785714291</v>
      </c>
    </row>
    <row r="12" spans="1:12" x14ac:dyDescent="0.25">
      <c r="A12">
        <v>1740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1740</v>
      </c>
      <c r="B13" t="s">
        <v>40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1740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1740</v>
      </c>
      <c r="B15" t="s">
        <v>8</v>
      </c>
      <c r="C15" t="s">
        <v>76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1740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1740</v>
      </c>
      <c r="B17" t="s">
        <v>48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1740</v>
      </c>
      <c r="B18" t="s">
        <v>9</v>
      </c>
      <c r="C18" t="s">
        <v>76</v>
      </c>
      <c r="D18" t="s">
        <v>33</v>
      </c>
      <c r="H18">
        <v>7</v>
      </c>
      <c r="J18">
        <f t="shared" si="0"/>
        <v>7</v>
      </c>
      <c r="L18">
        <f t="shared" si="1"/>
        <v>3.1250000000000002E-3</v>
      </c>
    </row>
    <row r="19" spans="1:12" x14ac:dyDescent="0.25">
      <c r="A19">
        <v>1740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1740</v>
      </c>
      <c r="B20" t="s">
        <v>11</v>
      </c>
      <c r="C20" t="s">
        <v>76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1740</v>
      </c>
      <c r="B21" t="s">
        <v>41</v>
      </c>
      <c r="C21" t="s">
        <v>76</v>
      </c>
      <c r="D21" t="s">
        <v>33</v>
      </c>
      <c r="H21">
        <v>21</v>
      </c>
      <c r="J21">
        <f t="shared" si="0"/>
        <v>21</v>
      </c>
      <c r="L21">
        <f t="shared" si="1"/>
        <v>9.3749999999999997E-3</v>
      </c>
    </row>
    <row r="22" spans="1:12" x14ac:dyDescent="0.25">
      <c r="A22">
        <v>1740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1740</v>
      </c>
      <c r="B23" t="s">
        <v>12</v>
      </c>
      <c r="C23" t="s">
        <v>76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1740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1740</v>
      </c>
      <c r="B25" t="s">
        <v>13</v>
      </c>
      <c r="C25" t="s">
        <v>76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1740</v>
      </c>
      <c r="B26" t="s">
        <v>14</v>
      </c>
      <c r="C26" t="s">
        <v>76</v>
      </c>
      <c r="D26" t="s">
        <v>33</v>
      </c>
      <c r="J26">
        <f t="shared" ref="J26:J64" si="2">(E26*2240)+(F26*112)+(G26*28)+H26</f>
        <v>0</v>
      </c>
      <c r="L26">
        <f t="shared" si="1"/>
        <v>0</v>
      </c>
    </row>
    <row r="27" spans="1:12" x14ac:dyDescent="0.25">
      <c r="A27">
        <v>1740</v>
      </c>
      <c r="B27" t="s">
        <v>23</v>
      </c>
      <c r="C27" t="s">
        <v>76</v>
      </c>
      <c r="D27" t="s">
        <v>33</v>
      </c>
      <c r="J27">
        <f t="shared" si="2"/>
        <v>0</v>
      </c>
      <c r="L27">
        <f t="shared" si="1"/>
        <v>0</v>
      </c>
    </row>
    <row r="28" spans="1:12" x14ac:dyDescent="0.25">
      <c r="A28">
        <v>1740</v>
      </c>
      <c r="B28" t="s">
        <v>27</v>
      </c>
      <c r="C28" t="s">
        <v>76</v>
      </c>
      <c r="D28" t="s">
        <v>33</v>
      </c>
      <c r="J28">
        <f t="shared" si="2"/>
        <v>0</v>
      </c>
      <c r="L28">
        <f t="shared" ref="L28:L64" si="3">J28/2240</f>
        <v>0</v>
      </c>
    </row>
    <row r="29" spans="1:12" x14ac:dyDescent="0.25">
      <c r="A29">
        <v>1740</v>
      </c>
      <c r="B29" t="s">
        <v>15</v>
      </c>
      <c r="C29" t="s">
        <v>76</v>
      </c>
      <c r="D29" t="s">
        <v>33</v>
      </c>
      <c r="F29">
        <v>1</v>
      </c>
      <c r="J29">
        <f t="shared" si="2"/>
        <v>112</v>
      </c>
      <c r="L29">
        <f t="shared" si="3"/>
        <v>0.05</v>
      </c>
    </row>
    <row r="30" spans="1:12" x14ac:dyDescent="0.25">
      <c r="A30">
        <v>1740</v>
      </c>
      <c r="B30" t="s">
        <v>44</v>
      </c>
      <c r="C30" t="s">
        <v>76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1740</v>
      </c>
      <c r="B31" t="s">
        <v>49</v>
      </c>
      <c r="C31" t="s">
        <v>76</v>
      </c>
      <c r="D31" t="s">
        <v>33</v>
      </c>
      <c r="H31">
        <v>40</v>
      </c>
      <c r="I31" t="s">
        <v>103</v>
      </c>
      <c r="J31">
        <f t="shared" si="2"/>
        <v>40</v>
      </c>
      <c r="L31">
        <f t="shared" si="3"/>
        <v>1.7857142857142856E-2</v>
      </c>
    </row>
    <row r="32" spans="1:12" x14ac:dyDescent="0.25">
      <c r="A32">
        <v>1740</v>
      </c>
      <c r="B32" t="s">
        <v>16</v>
      </c>
      <c r="C32" t="s">
        <v>76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1740</v>
      </c>
      <c r="B33" t="s">
        <v>17</v>
      </c>
      <c r="C33" t="s">
        <v>76</v>
      </c>
      <c r="D33" t="s">
        <v>33</v>
      </c>
      <c r="J33">
        <f t="shared" si="2"/>
        <v>0</v>
      </c>
      <c r="L33">
        <f t="shared" si="3"/>
        <v>0</v>
      </c>
    </row>
    <row r="34" spans="1:12" x14ac:dyDescent="0.25">
      <c r="A34">
        <v>1740</v>
      </c>
      <c r="B34" t="s">
        <v>18</v>
      </c>
      <c r="C34" t="s">
        <v>76</v>
      </c>
      <c r="D34" t="s">
        <v>33</v>
      </c>
      <c r="H34">
        <v>1920</v>
      </c>
      <c r="I34" t="s">
        <v>126</v>
      </c>
      <c r="J34">
        <f t="shared" si="2"/>
        <v>1920</v>
      </c>
      <c r="L34">
        <f t="shared" si="3"/>
        <v>0.8571428571428571</v>
      </c>
    </row>
    <row r="35" spans="1:12" x14ac:dyDescent="0.25">
      <c r="A35">
        <v>1740</v>
      </c>
      <c r="B35" t="s">
        <v>72</v>
      </c>
      <c r="C35" t="s">
        <v>76</v>
      </c>
      <c r="D35" t="s">
        <v>33</v>
      </c>
      <c r="J35">
        <f t="shared" si="2"/>
        <v>0</v>
      </c>
      <c r="L35">
        <f t="shared" si="3"/>
        <v>0</v>
      </c>
    </row>
    <row r="36" spans="1:12" x14ac:dyDescent="0.25">
      <c r="A36">
        <v>1740</v>
      </c>
      <c r="B36" t="s">
        <v>19</v>
      </c>
      <c r="C36" t="s">
        <v>76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1740</v>
      </c>
      <c r="B37" t="s">
        <v>47</v>
      </c>
      <c r="C37" t="s">
        <v>76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1740</v>
      </c>
      <c r="B38" t="s">
        <v>56</v>
      </c>
      <c r="C38" t="s">
        <v>76</v>
      </c>
      <c r="D38" t="s">
        <v>33</v>
      </c>
      <c r="H38">
        <v>75</v>
      </c>
      <c r="J38">
        <f t="shared" si="2"/>
        <v>75</v>
      </c>
      <c r="L38">
        <f t="shared" si="3"/>
        <v>3.3482142857142856E-2</v>
      </c>
    </row>
    <row r="39" spans="1:12" x14ac:dyDescent="0.25">
      <c r="A39">
        <v>1740</v>
      </c>
      <c r="B39" t="s">
        <v>90</v>
      </c>
      <c r="C39" t="s">
        <v>76</v>
      </c>
      <c r="D39" t="s">
        <v>33</v>
      </c>
      <c r="H39">
        <v>58</v>
      </c>
      <c r="J39">
        <f t="shared" si="2"/>
        <v>58</v>
      </c>
      <c r="L39">
        <f t="shared" si="3"/>
        <v>2.5892857142857145E-2</v>
      </c>
    </row>
    <row r="40" spans="1:12" x14ac:dyDescent="0.25">
      <c r="A40">
        <v>1740</v>
      </c>
      <c r="B40" t="s">
        <v>20</v>
      </c>
      <c r="C40" t="s">
        <v>76</v>
      </c>
      <c r="D40" t="s">
        <v>33</v>
      </c>
      <c r="J40">
        <f t="shared" si="2"/>
        <v>0</v>
      </c>
      <c r="L40">
        <f t="shared" si="3"/>
        <v>0</v>
      </c>
    </row>
    <row r="41" spans="1:12" x14ac:dyDescent="0.25">
      <c r="A41">
        <v>1740</v>
      </c>
      <c r="B41" t="s">
        <v>21</v>
      </c>
      <c r="C41" t="s">
        <v>76</v>
      </c>
      <c r="D41" t="s">
        <v>33</v>
      </c>
      <c r="J41">
        <f t="shared" si="2"/>
        <v>0</v>
      </c>
      <c r="L41">
        <f t="shared" si="3"/>
        <v>0</v>
      </c>
    </row>
    <row r="42" spans="1:12" x14ac:dyDescent="0.25">
      <c r="A42">
        <v>1740</v>
      </c>
      <c r="B42" t="s">
        <v>22</v>
      </c>
      <c r="C42" t="s">
        <v>76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1740</v>
      </c>
      <c r="B43" t="s">
        <v>63</v>
      </c>
      <c r="C43" t="s">
        <v>76</v>
      </c>
      <c r="D43" t="s">
        <v>33</v>
      </c>
      <c r="J43">
        <f t="shared" si="2"/>
        <v>0</v>
      </c>
      <c r="L43">
        <f t="shared" si="3"/>
        <v>0</v>
      </c>
    </row>
    <row r="44" spans="1:12" x14ac:dyDescent="0.25">
      <c r="A44">
        <v>1740</v>
      </c>
      <c r="B44" t="s">
        <v>64</v>
      </c>
      <c r="C44" t="s">
        <v>76</v>
      </c>
      <c r="D44" t="s">
        <v>33</v>
      </c>
      <c r="E44">
        <v>4</v>
      </c>
      <c r="J44">
        <f t="shared" si="2"/>
        <v>8960</v>
      </c>
      <c r="L44">
        <f t="shared" si="3"/>
        <v>4</v>
      </c>
    </row>
    <row r="45" spans="1:12" x14ac:dyDescent="0.25">
      <c r="A45">
        <v>1740</v>
      </c>
      <c r="B45" t="s">
        <v>65</v>
      </c>
      <c r="C45" t="s">
        <v>76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1740</v>
      </c>
      <c r="B46" t="s">
        <v>73</v>
      </c>
      <c r="C46" t="s">
        <v>76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1740</v>
      </c>
      <c r="B47" t="s">
        <v>66</v>
      </c>
      <c r="C47" t="s">
        <v>76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1740</v>
      </c>
      <c r="B48" t="s">
        <v>67</v>
      </c>
      <c r="C48" t="s">
        <v>76</v>
      </c>
      <c r="D48" t="s">
        <v>33</v>
      </c>
      <c r="J48">
        <f t="shared" si="2"/>
        <v>0</v>
      </c>
      <c r="L48">
        <f t="shared" si="3"/>
        <v>0</v>
      </c>
    </row>
    <row r="49" spans="1:12" x14ac:dyDescent="0.25">
      <c r="A49">
        <v>1740</v>
      </c>
      <c r="B49" t="s">
        <v>5</v>
      </c>
      <c r="C49" t="s">
        <v>76</v>
      </c>
      <c r="D49" t="s">
        <v>35</v>
      </c>
      <c r="J49">
        <f t="shared" si="2"/>
        <v>0</v>
      </c>
      <c r="L49">
        <f t="shared" si="3"/>
        <v>0</v>
      </c>
    </row>
    <row r="50" spans="1:12" x14ac:dyDescent="0.25">
      <c r="A50">
        <v>1740</v>
      </c>
      <c r="B50" t="s">
        <v>6</v>
      </c>
      <c r="C50" t="s">
        <v>76</v>
      </c>
      <c r="D50" t="s">
        <v>35</v>
      </c>
      <c r="F50">
        <v>5012</v>
      </c>
      <c r="G50">
        <v>0</v>
      </c>
      <c r="H50">
        <v>4</v>
      </c>
      <c r="J50">
        <f t="shared" si="2"/>
        <v>561348</v>
      </c>
      <c r="L50">
        <f t="shared" si="3"/>
        <v>250.60178571428571</v>
      </c>
    </row>
    <row r="51" spans="1:12" x14ac:dyDescent="0.25">
      <c r="A51">
        <v>1740</v>
      </c>
      <c r="B51" t="s">
        <v>7</v>
      </c>
      <c r="C51" t="s">
        <v>76</v>
      </c>
      <c r="D51" t="s">
        <v>35</v>
      </c>
      <c r="J51">
        <f t="shared" si="2"/>
        <v>0</v>
      </c>
      <c r="L51">
        <f t="shared" si="3"/>
        <v>0</v>
      </c>
    </row>
    <row r="52" spans="1:12" x14ac:dyDescent="0.25">
      <c r="A52">
        <v>1740</v>
      </c>
      <c r="B52" t="s">
        <v>8</v>
      </c>
      <c r="C52" t="s">
        <v>76</v>
      </c>
      <c r="D52" t="s">
        <v>35</v>
      </c>
      <c r="J52">
        <f t="shared" si="2"/>
        <v>0</v>
      </c>
      <c r="L52">
        <f t="shared" si="3"/>
        <v>0</v>
      </c>
    </row>
    <row r="53" spans="1:12" x14ac:dyDescent="0.25">
      <c r="A53">
        <v>1740</v>
      </c>
      <c r="B53" t="s">
        <v>9</v>
      </c>
      <c r="C53" t="s">
        <v>76</v>
      </c>
      <c r="D53" t="s">
        <v>35</v>
      </c>
      <c r="H53">
        <f>200*64</f>
        <v>12800</v>
      </c>
      <c r="I53" t="s">
        <v>148</v>
      </c>
      <c r="J53">
        <f t="shared" si="2"/>
        <v>12800</v>
      </c>
      <c r="L53">
        <f t="shared" si="3"/>
        <v>5.7142857142857144</v>
      </c>
    </row>
    <row r="54" spans="1:12" x14ac:dyDescent="0.25">
      <c r="A54">
        <v>1740</v>
      </c>
      <c r="B54" t="s">
        <v>10</v>
      </c>
      <c r="C54" t="s">
        <v>76</v>
      </c>
      <c r="D54" t="s">
        <v>35</v>
      </c>
      <c r="J54">
        <f t="shared" si="2"/>
        <v>0</v>
      </c>
      <c r="L54">
        <f t="shared" si="3"/>
        <v>0</v>
      </c>
    </row>
    <row r="55" spans="1:12" x14ac:dyDescent="0.25">
      <c r="A55">
        <v>1740</v>
      </c>
      <c r="B55" t="s">
        <v>11</v>
      </c>
      <c r="C55" t="s">
        <v>76</v>
      </c>
      <c r="D55" t="s">
        <v>35</v>
      </c>
      <c r="J55">
        <f t="shared" si="2"/>
        <v>0</v>
      </c>
      <c r="L55">
        <f t="shared" si="3"/>
        <v>0</v>
      </c>
    </row>
    <row r="56" spans="1:12" x14ac:dyDescent="0.25">
      <c r="A56">
        <v>1740</v>
      </c>
      <c r="B56" t="s">
        <v>12</v>
      </c>
      <c r="C56" t="s">
        <v>76</v>
      </c>
      <c r="D56" t="s">
        <v>35</v>
      </c>
      <c r="H56">
        <v>2950</v>
      </c>
      <c r="J56">
        <f t="shared" si="2"/>
        <v>2950</v>
      </c>
      <c r="L56">
        <f t="shared" si="3"/>
        <v>1.3169642857142858</v>
      </c>
    </row>
    <row r="57" spans="1:12" x14ac:dyDescent="0.25">
      <c r="A57">
        <v>1740</v>
      </c>
      <c r="B57" t="s">
        <v>13</v>
      </c>
      <c r="C57" t="s">
        <v>76</v>
      </c>
      <c r="D57" t="s">
        <v>35</v>
      </c>
      <c r="J57">
        <f t="shared" si="2"/>
        <v>0</v>
      </c>
      <c r="L57">
        <f t="shared" si="3"/>
        <v>0</v>
      </c>
    </row>
    <row r="58" spans="1:12" x14ac:dyDescent="0.25">
      <c r="A58">
        <v>1740</v>
      </c>
      <c r="B58" t="s">
        <v>14</v>
      </c>
      <c r="C58" t="s">
        <v>76</v>
      </c>
      <c r="D58" t="s">
        <v>35</v>
      </c>
      <c r="J58">
        <f t="shared" si="2"/>
        <v>0</v>
      </c>
      <c r="L58">
        <f t="shared" si="3"/>
        <v>0</v>
      </c>
    </row>
    <row r="59" spans="1:12" x14ac:dyDescent="0.25">
      <c r="A59">
        <v>1740</v>
      </c>
      <c r="B59" t="s">
        <v>27</v>
      </c>
      <c r="C59" t="s">
        <v>76</v>
      </c>
      <c r="D59" t="s">
        <v>35</v>
      </c>
      <c r="J59">
        <f t="shared" si="2"/>
        <v>0</v>
      </c>
      <c r="L59">
        <f t="shared" si="3"/>
        <v>0</v>
      </c>
    </row>
    <row r="60" spans="1:12" x14ac:dyDescent="0.25">
      <c r="A60">
        <v>1740</v>
      </c>
      <c r="B60" t="s">
        <v>15</v>
      </c>
      <c r="C60" t="s">
        <v>76</v>
      </c>
      <c r="D60" t="s">
        <v>35</v>
      </c>
      <c r="J60">
        <f t="shared" si="2"/>
        <v>0</v>
      </c>
      <c r="L60">
        <f t="shared" si="3"/>
        <v>0</v>
      </c>
    </row>
    <row r="61" spans="1:12" x14ac:dyDescent="0.25">
      <c r="A61">
        <v>1740</v>
      </c>
      <c r="B61" t="s">
        <v>17</v>
      </c>
      <c r="C61" t="s">
        <v>76</v>
      </c>
      <c r="D61" t="s">
        <v>35</v>
      </c>
      <c r="J61">
        <f t="shared" si="2"/>
        <v>0</v>
      </c>
      <c r="L61">
        <f t="shared" si="3"/>
        <v>0</v>
      </c>
    </row>
    <row r="62" spans="1:12" x14ac:dyDescent="0.25">
      <c r="A62">
        <v>1740</v>
      </c>
      <c r="B62" t="s">
        <v>18</v>
      </c>
      <c r="C62" t="s">
        <v>76</v>
      </c>
      <c r="D62" t="s">
        <v>35</v>
      </c>
      <c r="H62">
        <v>60</v>
      </c>
      <c r="I62" t="s">
        <v>144</v>
      </c>
      <c r="J62">
        <f t="shared" si="2"/>
        <v>60</v>
      </c>
      <c r="L62">
        <f t="shared" si="3"/>
        <v>2.6785714285714284E-2</v>
      </c>
    </row>
    <row r="63" spans="1:12" x14ac:dyDescent="0.25">
      <c r="A63">
        <v>1740</v>
      </c>
      <c r="B63" t="s">
        <v>19</v>
      </c>
      <c r="C63" t="s">
        <v>76</v>
      </c>
      <c r="D63" t="s">
        <v>35</v>
      </c>
      <c r="J63">
        <f t="shared" si="2"/>
        <v>0</v>
      </c>
      <c r="L63">
        <f t="shared" si="3"/>
        <v>0</v>
      </c>
    </row>
    <row r="64" spans="1:12" x14ac:dyDescent="0.25">
      <c r="A64">
        <v>1740</v>
      </c>
      <c r="B64" t="s">
        <v>56</v>
      </c>
      <c r="C64" t="s">
        <v>76</v>
      </c>
      <c r="D64" t="s">
        <v>35</v>
      </c>
      <c r="J64">
        <f t="shared" si="2"/>
        <v>0</v>
      </c>
      <c r="L64">
        <f t="shared" si="3"/>
        <v>0</v>
      </c>
    </row>
    <row r="65" spans="1:12" x14ac:dyDescent="0.25">
      <c r="A65">
        <v>1740</v>
      </c>
      <c r="B65" t="s">
        <v>90</v>
      </c>
      <c r="C65" t="s">
        <v>76</v>
      </c>
      <c r="D65" t="s">
        <v>35</v>
      </c>
      <c r="J65">
        <f t="shared" ref="J65:J68" si="4">(E65*2240)+(F65*112)+(G65*28)+H65</f>
        <v>0</v>
      </c>
      <c r="L65">
        <f t="shared" ref="L65:L68" si="5">J65/2240</f>
        <v>0</v>
      </c>
    </row>
    <row r="66" spans="1:12" x14ac:dyDescent="0.25">
      <c r="A66">
        <v>1740</v>
      </c>
      <c r="B66" t="s">
        <v>21</v>
      </c>
      <c r="C66" t="s">
        <v>76</v>
      </c>
      <c r="D66" t="s">
        <v>35</v>
      </c>
      <c r="J66">
        <f t="shared" si="4"/>
        <v>0</v>
      </c>
      <c r="L66">
        <f t="shared" si="5"/>
        <v>0</v>
      </c>
    </row>
    <row r="67" spans="1:12" x14ac:dyDescent="0.25">
      <c r="A67">
        <v>1740</v>
      </c>
      <c r="B67" t="s">
        <v>22</v>
      </c>
      <c r="C67" t="s">
        <v>76</v>
      </c>
      <c r="D67" t="s">
        <v>35</v>
      </c>
      <c r="J67">
        <f t="shared" si="4"/>
        <v>0</v>
      </c>
      <c r="L67">
        <f t="shared" si="5"/>
        <v>0</v>
      </c>
    </row>
    <row r="68" spans="1:12" x14ac:dyDescent="0.25">
      <c r="A68">
        <v>1740</v>
      </c>
      <c r="B68" t="s">
        <v>64</v>
      </c>
      <c r="C68" t="s">
        <v>76</v>
      </c>
      <c r="D68" t="s">
        <v>35</v>
      </c>
      <c r="E68">
        <v>8</v>
      </c>
      <c r="F68">
        <v>19</v>
      </c>
      <c r="G68">
        <v>1</v>
      </c>
      <c r="H68">
        <v>7</v>
      </c>
      <c r="J68">
        <f t="shared" si="4"/>
        <v>20083</v>
      </c>
      <c r="L68">
        <f t="shared" si="5"/>
        <v>8.9656249999999993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3"/>
  <sheetViews>
    <sheetView topLeftCell="A22" workbookViewId="0">
      <selection activeCell="H56" sqref="H5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1740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1740</v>
      </c>
      <c r="B3" t="s">
        <v>59</v>
      </c>
      <c r="C3" t="s">
        <v>77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1740</v>
      </c>
      <c r="B4" t="s">
        <v>38</v>
      </c>
      <c r="C4" t="s">
        <v>77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1740</v>
      </c>
      <c r="B5" t="s">
        <v>4</v>
      </c>
      <c r="C5" t="s">
        <v>77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1740</v>
      </c>
      <c r="B6" t="s">
        <v>60</v>
      </c>
      <c r="C6" t="s">
        <v>77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1740</v>
      </c>
      <c r="B7" t="s">
        <v>71</v>
      </c>
      <c r="C7" t="s">
        <v>77</v>
      </c>
      <c r="D7" t="s">
        <v>33</v>
      </c>
      <c r="J7">
        <f t="shared" ref="J7:J26" si="0">(E7*2240)+(F7*112)+(G7*28)+H7</f>
        <v>0</v>
      </c>
      <c r="L7">
        <f t="shared" ref="L7:L28" si="1">J7/2240</f>
        <v>0</v>
      </c>
    </row>
    <row r="8" spans="1:12" x14ac:dyDescent="0.25">
      <c r="A8">
        <v>1740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1740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1740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1740</v>
      </c>
      <c r="B11" t="s">
        <v>6</v>
      </c>
      <c r="C11" t="s">
        <v>77</v>
      </c>
      <c r="D11" t="s">
        <v>33</v>
      </c>
      <c r="F11">
        <v>75721</v>
      </c>
      <c r="G11">
        <v>3</v>
      </c>
      <c r="H11">
        <v>16</v>
      </c>
      <c r="J11">
        <f t="shared" si="0"/>
        <v>8480852</v>
      </c>
      <c r="L11">
        <f t="shared" si="1"/>
        <v>3786.0946428571428</v>
      </c>
    </row>
    <row r="12" spans="1:12" x14ac:dyDescent="0.25">
      <c r="A12">
        <v>1740</v>
      </c>
      <c r="B12" t="s">
        <v>62</v>
      </c>
      <c r="C12" t="s">
        <v>77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1740</v>
      </c>
      <c r="B13" t="s">
        <v>40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1740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1740</v>
      </c>
      <c r="B15" t="s">
        <v>8</v>
      </c>
      <c r="C15" t="s">
        <v>77</v>
      </c>
      <c r="D15" t="s">
        <v>33</v>
      </c>
      <c r="F15">
        <v>150</v>
      </c>
      <c r="G15">
        <v>2</v>
      </c>
      <c r="H15">
        <v>16</v>
      </c>
      <c r="J15">
        <f t="shared" si="0"/>
        <v>16872</v>
      </c>
      <c r="L15">
        <f t="shared" si="1"/>
        <v>7.5321428571428575</v>
      </c>
    </row>
    <row r="16" spans="1:12" x14ac:dyDescent="0.25">
      <c r="A16">
        <v>1740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1740</v>
      </c>
      <c r="B17" t="s">
        <v>80</v>
      </c>
      <c r="C17" t="s">
        <v>77</v>
      </c>
      <c r="D17" t="s">
        <v>33</v>
      </c>
      <c r="H17">
        <v>26</v>
      </c>
      <c r="J17">
        <f t="shared" si="0"/>
        <v>26</v>
      </c>
      <c r="L17">
        <f t="shared" si="1"/>
        <v>1.1607142857142858E-2</v>
      </c>
    </row>
    <row r="18" spans="1:12" x14ac:dyDescent="0.25">
      <c r="A18">
        <v>1740</v>
      </c>
      <c r="B18" t="s">
        <v>99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1740</v>
      </c>
      <c r="B19" t="s">
        <v>48</v>
      </c>
      <c r="C19" t="s">
        <v>77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1740</v>
      </c>
      <c r="B20" t="s">
        <v>9</v>
      </c>
      <c r="C20" t="s">
        <v>77</v>
      </c>
      <c r="D20" t="s">
        <v>33</v>
      </c>
      <c r="H20">
        <f>422*200</f>
        <v>84400</v>
      </c>
      <c r="I20" t="s">
        <v>130</v>
      </c>
      <c r="J20">
        <f t="shared" si="0"/>
        <v>84400</v>
      </c>
      <c r="L20">
        <f t="shared" si="1"/>
        <v>37.678571428571431</v>
      </c>
    </row>
    <row r="21" spans="1:12" x14ac:dyDescent="0.25">
      <c r="A21">
        <v>1740</v>
      </c>
      <c r="B21" t="s">
        <v>10</v>
      </c>
      <c r="C21" t="s">
        <v>77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1740</v>
      </c>
      <c r="B22" t="s">
        <v>11</v>
      </c>
      <c r="C22" t="s">
        <v>77</v>
      </c>
      <c r="D22" t="s">
        <v>33</v>
      </c>
      <c r="F22">
        <v>72</v>
      </c>
      <c r="H22">
        <v>2</v>
      </c>
      <c r="J22">
        <f t="shared" si="0"/>
        <v>8066</v>
      </c>
      <c r="L22">
        <f t="shared" si="1"/>
        <v>3.6008928571428571</v>
      </c>
    </row>
    <row r="23" spans="1:12" x14ac:dyDescent="0.25">
      <c r="A23">
        <v>1740</v>
      </c>
      <c r="B23" t="s">
        <v>41</v>
      </c>
      <c r="C23" t="s">
        <v>77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1740</v>
      </c>
      <c r="B24" t="s">
        <v>46</v>
      </c>
      <c r="C24" t="s">
        <v>77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1740</v>
      </c>
      <c r="B25" t="s">
        <v>12</v>
      </c>
      <c r="C25" t="s">
        <v>77</v>
      </c>
      <c r="D25" t="s">
        <v>33</v>
      </c>
      <c r="H25">
        <v>25208</v>
      </c>
      <c r="J25">
        <f t="shared" si="0"/>
        <v>25208</v>
      </c>
      <c r="L25">
        <f t="shared" si="1"/>
        <v>11.253571428571428</v>
      </c>
    </row>
    <row r="26" spans="1:12" x14ac:dyDescent="0.25">
      <c r="A26">
        <v>1740</v>
      </c>
      <c r="B26" t="s">
        <v>34</v>
      </c>
      <c r="C26" t="s">
        <v>77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1740</v>
      </c>
      <c r="B27" t="s">
        <v>13</v>
      </c>
      <c r="C27" t="s">
        <v>77</v>
      </c>
      <c r="D27" t="s">
        <v>33</v>
      </c>
      <c r="E27">
        <v>3</v>
      </c>
      <c r="J27">
        <f t="shared" ref="J27:J73" si="2">(E27*2240)+(F27*112)+(G27*28)+H27</f>
        <v>6720</v>
      </c>
      <c r="L27">
        <f t="shared" si="1"/>
        <v>3</v>
      </c>
    </row>
    <row r="28" spans="1:12" x14ac:dyDescent="0.25">
      <c r="A28">
        <v>1740</v>
      </c>
      <c r="B28" t="s">
        <v>14</v>
      </c>
      <c r="C28" t="s">
        <v>77</v>
      </c>
      <c r="D28" t="s">
        <v>33</v>
      </c>
      <c r="J28">
        <f t="shared" si="2"/>
        <v>0</v>
      </c>
      <c r="L28">
        <f t="shared" si="1"/>
        <v>0</v>
      </c>
    </row>
    <row r="29" spans="1:12" x14ac:dyDescent="0.25">
      <c r="A29">
        <v>1740</v>
      </c>
      <c r="B29" t="s">
        <v>23</v>
      </c>
      <c r="C29" t="s">
        <v>77</v>
      </c>
      <c r="D29" t="s">
        <v>33</v>
      </c>
      <c r="J29">
        <f t="shared" si="2"/>
        <v>0</v>
      </c>
      <c r="L29">
        <f t="shared" ref="L29:L73" si="3">J29/2240</f>
        <v>0</v>
      </c>
    </row>
    <row r="30" spans="1:12" x14ac:dyDescent="0.25">
      <c r="A30">
        <v>1740</v>
      </c>
      <c r="B30" t="s">
        <v>27</v>
      </c>
      <c r="C30" t="s">
        <v>77</v>
      </c>
      <c r="D30" t="s">
        <v>33</v>
      </c>
      <c r="H30">
        <v>110268</v>
      </c>
      <c r="I30" t="s">
        <v>128</v>
      </c>
      <c r="J30">
        <f t="shared" si="2"/>
        <v>110268</v>
      </c>
      <c r="L30">
        <f t="shared" si="3"/>
        <v>49.226785714285711</v>
      </c>
    </row>
    <row r="31" spans="1:12" x14ac:dyDescent="0.25">
      <c r="A31">
        <v>1740</v>
      </c>
      <c r="B31" t="s">
        <v>15</v>
      </c>
      <c r="C31" t="s">
        <v>77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1740</v>
      </c>
      <c r="B32" t="s">
        <v>44</v>
      </c>
      <c r="C32" t="s">
        <v>77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1740</v>
      </c>
      <c r="B33" t="s">
        <v>49</v>
      </c>
      <c r="C33" t="s">
        <v>77</v>
      </c>
      <c r="D33" t="s">
        <v>33</v>
      </c>
      <c r="H33">
        <v>40</v>
      </c>
      <c r="I33" t="s">
        <v>103</v>
      </c>
      <c r="J33">
        <f t="shared" si="2"/>
        <v>40</v>
      </c>
      <c r="L33">
        <f t="shared" si="3"/>
        <v>1.7857142857142856E-2</v>
      </c>
    </row>
    <row r="34" spans="1:12" x14ac:dyDescent="0.25">
      <c r="A34">
        <v>1740</v>
      </c>
      <c r="B34" t="s">
        <v>16</v>
      </c>
      <c r="C34" t="s">
        <v>77</v>
      </c>
      <c r="D34" t="s">
        <v>33</v>
      </c>
      <c r="H34">
        <v>4447</v>
      </c>
      <c r="J34">
        <f t="shared" si="2"/>
        <v>4447</v>
      </c>
      <c r="L34">
        <f t="shared" si="3"/>
        <v>1.9852678571428573</v>
      </c>
    </row>
    <row r="35" spans="1:12" x14ac:dyDescent="0.25">
      <c r="A35">
        <v>1740</v>
      </c>
      <c r="B35" t="s">
        <v>100</v>
      </c>
      <c r="C35" t="s">
        <v>77</v>
      </c>
      <c r="D35" t="s">
        <v>33</v>
      </c>
      <c r="H35">
        <v>9953</v>
      </c>
      <c r="I35" t="s">
        <v>129</v>
      </c>
      <c r="J35">
        <f t="shared" si="2"/>
        <v>9953</v>
      </c>
      <c r="L35">
        <f t="shared" si="3"/>
        <v>4.4433035714285714</v>
      </c>
    </row>
    <row r="36" spans="1:12" x14ac:dyDescent="0.25">
      <c r="A36">
        <v>1740</v>
      </c>
      <c r="B36" t="s">
        <v>17</v>
      </c>
      <c r="C36" t="s">
        <v>77</v>
      </c>
      <c r="D36" t="s">
        <v>33</v>
      </c>
      <c r="F36">
        <v>3</v>
      </c>
      <c r="G36">
        <v>2</v>
      </c>
      <c r="H36">
        <v>14</v>
      </c>
      <c r="J36">
        <f t="shared" si="2"/>
        <v>406</v>
      </c>
      <c r="L36">
        <f t="shared" si="3"/>
        <v>0.18124999999999999</v>
      </c>
    </row>
    <row r="37" spans="1:12" x14ac:dyDescent="0.25">
      <c r="A37">
        <v>1740</v>
      </c>
      <c r="B37" t="s">
        <v>18</v>
      </c>
      <c r="C37" t="s">
        <v>77</v>
      </c>
      <c r="D37" t="s">
        <v>33</v>
      </c>
      <c r="H37">
        <v>4363.75</v>
      </c>
      <c r="I37" t="s">
        <v>127</v>
      </c>
      <c r="J37">
        <f t="shared" si="2"/>
        <v>4363.75</v>
      </c>
      <c r="L37">
        <f t="shared" si="3"/>
        <v>1.9481026785714286</v>
      </c>
    </row>
    <row r="38" spans="1:12" x14ac:dyDescent="0.25">
      <c r="A38">
        <v>1740</v>
      </c>
      <c r="B38" t="s">
        <v>72</v>
      </c>
      <c r="C38" t="s">
        <v>77</v>
      </c>
      <c r="D38" t="s">
        <v>33</v>
      </c>
      <c r="J38">
        <f t="shared" si="2"/>
        <v>0</v>
      </c>
      <c r="L38">
        <f t="shared" si="3"/>
        <v>0</v>
      </c>
    </row>
    <row r="39" spans="1:12" x14ac:dyDescent="0.25">
      <c r="A39">
        <v>1740</v>
      </c>
      <c r="B39" t="s">
        <v>19</v>
      </c>
      <c r="C39" t="s">
        <v>77</v>
      </c>
      <c r="D39" t="s">
        <v>33</v>
      </c>
      <c r="J39">
        <f t="shared" si="2"/>
        <v>0</v>
      </c>
      <c r="L39">
        <f t="shared" si="3"/>
        <v>0</v>
      </c>
    </row>
    <row r="40" spans="1:12" x14ac:dyDescent="0.25">
      <c r="A40">
        <v>1740</v>
      </c>
      <c r="B40" t="s">
        <v>47</v>
      </c>
      <c r="C40" t="s">
        <v>77</v>
      </c>
      <c r="D40" t="s">
        <v>33</v>
      </c>
      <c r="J40">
        <f t="shared" si="2"/>
        <v>0</v>
      </c>
      <c r="L40">
        <f t="shared" si="3"/>
        <v>0</v>
      </c>
    </row>
    <row r="41" spans="1:12" x14ac:dyDescent="0.25">
      <c r="A41">
        <v>1740</v>
      </c>
      <c r="B41" t="s">
        <v>56</v>
      </c>
      <c r="C41" t="s">
        <v>77</v>
      </c>
      <c r="D41" t="s">
        <v>33</v>
      </c>
      <c r="H41">
        <v>133</v>
      </c>
      <c r="J41">
        <f t="shared" si="2"/>
        <v>133</v>
      </c>
      <c r="L41">
        <f t="shared" si="3"/>
        <v>5.9374999999999997E-2</v>
      </c>
    </row>
    <row r="42" spans="1:12" x14ac:dyDescent="0.25">
      <c r="A42">
        <v>1740</v>
      </c>
      <c r="B42" t="s">
        <v>90</v>
      </c>
      <c r="C42" t="s">
        <v>77</v>
      </c>
      <c r="D42" t="s">
        <v>33</v>
      </c>
      <c r="H42">
        <v>46</v>
      </c>
      <c r="J42">
        <f t="shared" si="2"/>
        <v>46</v>
      </c>
      <c r="L42">
        <f t="shared" si="3"/>
        <v>2.0535714285714286E-2</v>
      </c>
    </row>
    <row r="43" spans="1:12" x14ac:dyDescent="0.25">
      <c r="A43">
        <v>1740</v>
      </c>
      <c r="B43" t="s">
        <v>20</v>
      </c>
      <c r="C43" t="s">
        <v>77</v>
      </c>
      <c r="D43" t="s">
        <v>33</v>
      </c>
      <c r="J43">
        <f t="shared" si="2"/>
        <v>0</v>
      </c>
      <c r="L43">
        <f t="shared" si="3"/>
        <v>0</v>
      </c>
    </row>
    <row r="44" spans="1:12" x14ac:dyDescent="0.25">
      <c r="A44">
        <v>1740</v>
      </c>
      <c r="B44" t="s">
        <v>21</v>
      </c>
      <c r="C44" t="s">
        <v>77</v>
      </c>
      <c r="D44" t="s">
        <v>33</v>
      </c>
      <c r="H44">
        <v>63</v>
      </c>
      <c r="J44">
        <f t="shared" si="2"/>
        <v>63</v>
      </c>
      <c r="L44">
        <f t="shared" si="3"/>
        <v>2.8125000000000001E-2</v>
      </c>
    </row>
    <row r="45" spans="1:12" x14ac:dyDescent="0.25">
      <c r="A45">
        <v>1740</v>
      </c>
      <c r="B45" t="s">
        <v>22</v>
      </c>
      <c r="C45" t="s">
        <v>77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1740</v>
      </c>
      <c r="B46" t="s">
        <v>63</v>
      </c>
      <c r="C46" t="s">
        <v>77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1740</v>
      </c>
      <c r="B47" t="s">
        <v>64</v>
      </c>
      <c r="C47" t="s">
        <v>77</v>
      </c>
      <c r="D47" t="s">
        <v>33</v>
      </c>
      <c r="E47">
        <v>60</v>
      </c>
      <c r="F47">
        <v>10</v>
      </c>
      <c r="J47">
        <f t="shared" si="2"/>
        <v>135520</v>
      </c>
      <c r="L47">
        <f t="shared" si="3"/>
        <v>60.5</v>
      </c>
    </row>
    <row r="48" spans="1:12" x14ac:dyDescent="0.25">
      <c r="A48">
        <v>1740</v>
      </c>
      <c r="B48" t="s">
        <v>65</v>
      </c>
      <c r="C48" t="s">
        <v>77</v>
      </c>
      <c r="D48" t="s">
        <v>33</v>
      </c>
      <c r="E48">
        <v>90</v>
      </c>
      <c r="J48">
        <f t="shared" si="2"/>
        <v>201600</v>
      </c>
      <c r="L48">
        <f t="shared" si="3"/>
        <v>90</v>
      </c>
    </row>
    <row r="49" spans="1:12" x14ac:dyDescent="0.25">
      <c r="A49">
        <v>1740</v>
      </c>
      <c r="B49" t="s">
        <v>73</v>
      </c>
      <c r="C49" t="s">
        <v>77</v>
      </c>
      <c r="D49" t="s">
        <v>33</v>
      </c>
      <c r="J49">
        <f t="shared" si="2"/>
        <v>0</v>
      </c>
      <c r="L49">
        <f t="shared" si="3"/>
        <v>0</v>
      </c>
    </row>
    <row r="50" spans="1:12" x14ac:dyDescent="0.25">
      <c r="A50">
        <v>1740</v>
      </c>
      <c r="B50" t="s">
        <v>66</v>
      </c>
      <c r="C50" t="s">
        <v>77</v>
      </c>
      <c r="D50" t="s">
        <v>33</v>
      </c>
      <c r="E50">
        <v>6</v>
      </c>
      <c r="F50">
        <v>14</v>
      </c>
      <c r="G50">
        <v>1</v>
      </c>
      <c r="H50">
        <v>5</v>
      </c>
      <c r="J50">
        <f t="shared" si="2"/>
        <v>15041</v>
      </c>
      <c r="L50">
        <f t="shared" si="3"/>
        <v>6.7147321428571427</v>
      </c>
    </row>
    <row r="51" spans="1:12" x14ac:dyDescent="0.25">
      <c r="A51">
        <v>1740</v>
      </c>
      <c r="B51" t="s">
        <v>67</v>
      </c>
      <c r="C51" t="s">
        <v>77</v>
      </c>
      <c r="D51" t="s">
        <v>33</v>
      </c>
      <c r="J51">
        <f t="shared" si="2"/>
        <v>0</v>
      </c>
      <c r="L51">
        <f t="shared" si="3"/>
        <v>0</v>
      </c>
    </row>
    <row r="52" spans="1:12" x14ac:dyDescent="0.25">
      <c r="A52">
        <v>1740</v>
      </c>
      <c r="B52" t="s">
        <v>6</v>
      </c>
      <c r="C52" t="s">
        <v>77</v>
      </c>
      <c r="D52" t="s">
        <v>35</v>
      </c>
      <c r="F52">
        <v>29961</v>
      </c>
      <c r="G52">
        <v>2</v>
      </c>
      <c r="H52">
        <v>25</v>
      </c>
      <c r="J52">
        <f t="shared" si="2"/>
        <v>3355713</v>
      </c>
      <c r="L52">
        <f t="shared" si="3"/>
        <v>1498.0861607142858</v>
      </c>
    </row>
    <row r="53" spans="1:12" x14ac:dyDescent="0.25">
      <c r="A53">
        <v>1740</v>
      </c>
      <c r="B53" t="s">
        <v>7</v>
      </c>
      <c r="C53" t="s">
        <v>77</v>
      </c>
      <c r="D53" t="s">
        <v>35</v>
      </c>
      <c r="J53">
        <f t="shared" si="2"/>
        <v>0</v>
      </c>
      <c r="L53">
        <f t="shared" si="3"/>
        <v>0</v>
      </c>
    </row>
    <row r="54" spans="1:12" x14ac:dyDescent="0.25">
      <c r="A54">
        <v>1740</v>
      </c>
      <c r="B54" t="s">
        <v>8</v>
      </c>
      <c r="C54" t="s">
        <v>77</v>
      </c>
      <c r="D54" t="s">
        <v>35</v>
      </c>
      <c r="J54">
        <f t="shared" si="2"/>
        <v>0</v>
      </c>
      <c r="L54">
        <f t="shared" si="3"/>
        <v>0</v>
      </c>
    </row>
    <row r="55" spans="1:12" x14ac:dyDescent="0.25">
      <c r="A55">
        <v>1740</v>
      </c>
      <c r="B55" t="s">
        <v>9</v>
      </c>
      <c r="C55" t="s">
        <v>77</v>
      </c>
      <c r="D55" t="s">
        <v>35</v>
      </c>
      <c r="H55">
        <f>200*1003.25</f>
        <v>200650</v>
      </c>
      <c r="I55" t="s">
        <v>151</v>
      </c>
      <c r="J55">
        <f t="shared" si="2"/>
        <v>200650</v>
      </c>
      <c r="L55">
        <f t="shared" si="3"/>
        <v>89.575892857142861</v>
      </c>
    </row>
    <row r="56" spans="1:12" x14ac:dyDescent="0.25">
      <c r="A56">
        <v>1740</v>
      </c>
      <c r="B56" t="s">
        <v>10</v>
      </c>
      <c r="C56" t="s">
        <v>77</v>
      </c>
      <c r="D56" t="s">
        <v>35</v>
      </c>
      <c r="J56">
        <f t="shared" si="2"/>
        <v>0</v>
      </c>
      <c r="L56">
        <f t="shared" si="3"/>
        <v>0</v>
      </c>
    </row>
    <row r="57" spans="1:12" x14ac:dyDescent="0.25">
      <c r="A57">
        <v>1740</v>
      </c>
      <c r="B57" t="s">
        <v>11</v>
      </c>
      <c r="C57" t="s">
        <v>77</v>
      </c>
      <c r="D57" t="s">
        <v>35</v>
      </c>
      <c r="F57">
        <v>155</v>
      </c>
      <c r="G57">
        <v>3</v>
      </c>
      <c r="H57">
        <v>17</v>
      </c>
      <c r="J57">
        <f t="shared" si="2"/>
        <v>17461</v>
      </c>
      <c r="L57">
        <f t="shared" si="3"/>
        <v>7.7950892857142859</v>
      </c>
    </row>
    <row r="58" spans="1:12" x14ac:dyDescent="0.25">
      <c r="A58">
        <v>1740</v>
      </c>
      <c r="B58" t="s">
        <v>82</v>
      </c>
      <c r="C58" t="s">
        <v>77</v>
      </c>
      <c r="D58" t="s">
        <v>35</v>
      </c>
      <c r="H58">
        <v>536</v>
      </c>
      <c r="J58">
        <f t="shared" si="2"/>
        <v>536</v>
      </c>
      <c r="L58">
        <f t="shared" si="3"/>
        <v>0.2392857142857143</v>
      </c>
    </row>
    <row r="59" spans="1:12" x14ac:dyDescent="0.25">
      <c r="A59">
        <v>1740</v>
      </c>
      <c r="B59" t="s">
        <v>12</v>
      </c>
      <c r="C59" t="s">
        <v>77</v>
      </c>
      <c r="D59" t="s">
        <v>35</v>
      </c>
      <c r="H59">
        <v>6654</v>
      </c>
      <c r="J59">
        <f t="shared" si="2"/>
        <v>6654</v>
      </c>
      <c r="L59">
        <f t="shared" si="3"/>
        <v>2.9705357142857145</v>
      </c>
    </row>
    <row r="60" spans="1:12" x14ac:dyDescent="0.25">
      <c r="A60">
        <v>1740</v>
      </c>
      <c r="B60" t="s">
        <v>13</v>
      </c>
      <c r="C60" t="s">
        <v>77</v>
      </c>
      <c r="D60" t="s">
        <v>35</v>
      </c>
      <c r="J60">
        <f t="shared" si="2"/>
        <v>0</v>
      </c>
      <c r="L60">
        <f t="shared" si="3"/>
        <v>0</v>
      </c>
    </row>
    <row r="61" spans="1:12" x14ac:dyDescent="0.25">
      <c r="A61">
        <v>1740</v>
      </c>
      <c r="B61" t="s">
        <v>14</v>
      </c>
      <c r="C61" t="s">
        <v>77</v>
      </c>
      <c r="D61" t="s">
        <v>35</v>
      </c>
      <c r="J61">
        <f t="shared" si="2"/>
        <v>0</v>
      </c>
      <c r="L61">
        <f t="shared" si="3"/>
        <v>0</v>
      </c>
    </row>
    <row r="62" spans="1:12" x14ac:dyDescent="0.25">
      <c r="A62">
        <v>1740</v>
      </c>
      <c r="B62" t="s">
        <v>27</v>
      </c>
      <c r="C62" t="s">
        <v>77</v>
      </c>
      <c r="D62" t="s">
        <v>35</v>
      </c>
      <c r="H62">
        <v>1040</v>
      </c>
      <c r="I62" t="s">
        <v>149</v>
      </c>
      <c r="J62">
        <f t="shared" si="2"/>
        <v>1040</v>
      </c>
      <c r="L62">
        <f t="shared" si="3"/>
        <v>0.4642857142857143</v>
      </c>
    </row>
    <row r="63" spans="1:12" x14ac:dyDescent="0.25">
      <c r="A63">
        <v>1740</v>
      </c>
      <c r="B63" t="s">
        <v>15</v>
      </c>
      <c r="C63" t="s">
        <v>77</v>
      </c>
      <c r="D63" t="s">
        <v>35</v>
      </c>
      <c r="J63">
        <f t="shared" si="2"/>
        <v>0</v>
      </c>
      <c r="L63">
        <f t="shared" si="3"/>
        <v>0</v>
      </c>
    </row>
    <row r="64" spans="1:12" x14ac:dyDescent="0.25">
      <c r="A64">
        <v>1740</v>
      </c>
      <c r="B64" t="s">
        <v>135</v>
      </c>
      <c r="C64" t="s">
        <v>77</v>
      </c>
      <c r="D64" t="s">
        <v>35</v>
      </c>
      <c r="F64">
        <v>10</v>
      </c>
      <c r="J64">
        <f t="shared" si="2"/>
        <v>1120</v>
      </c>
      <c r="L64">
        <f t="shared" si="3"/>
        <v>0.5</v>
      </c>
    </row>
    <row r="65" spans="1:12" x14ac:dyDescent="0.25">
      <c r="A65">
        <v>1740</v>
      </c>
      <c r="B65" t="s">
        <v>17</v>
      </c>
      <c r="C65" t="s">
        <v>77</v>
      </c>
      <c r="D65" t="s">
        <v>35</v>
      </c>
      <c r="J65">
        <f t="shared" si="2"/>
        <v>0</v>
      </c>
      <c r="L65">
        <f t="shared" si="3"/>
        <v>0</v>
      </c>
    </row>
    <row r="66" spans="1:12" x14ac:dyDescent="0.25">
      <c r="A66">
        <v>1740</v>
      </c>
      <c r="B66" t="s">
        <v>18</v>
      </c>
      <c r="C66" t="s">
        <v>77</v>
      </c>
      <c r="D66" t="s">
        <v>35</v>
      </c>
      <c r="H66">
        <v>8112</v>
      </c>
      <c r="I66" t="s">
        <v>150</v>
      </c>
      <c r="J66">
        <f t="shared" si="2"/>
        <v>8112</v>
      </c>
      <c r="L66">
        <f t="shared" si="3"/>
        <v>3.6214285714285714</v>
      </c>
    </row>
    <row r="67" spans="1:12" x14ac:dyDescent="0.25">
      <c r="A67">
        <v>1740</v>
      </c>
      <c r="B67" t="s">
        <v>19</v>
      </c>
      <c r="C67" t="s">
        <v>77</v>
      </c>
      <c r="D67" t="s">
        <v>35</v>
      </c>
      <c r="G67">
        <v>2</v>
      </c>
      <c r="H67">
        <v>22</v>
      </c>
      <c r="J67">
        <f t="shared" si="2"/>
        <v>78</v>
      </c>
      <c r="L67">
        <f t="shared" si="3"/>
        <v>3.4821428571428573E-2</v>
      </c>
    </row>
    <row r="68" spans="1:12" x14ac:dyDescent="0.25">
      <c r="A68">
        <v>1740</v>
      </c>
      <c r="B68" t="s">
        <v>56</v>
      </c>
      <c r="C68" t="s">
        <v>77</v>
      </c>
      <c r="D68" t="s">
        <v>35</v>
      </c>
      <c r="H68">
        <v>14</v>
      </c>
      <c r="J68">
        <f t="shared" si="2"/>
        <v>14</v>
      </c>
      <c r="L68">
        <f t="shared" si="3"/>
        <v>6.2500000000000003E-3</v>
      </c>
    </row>
    <row r="69" spans="1:12" x14ac:dyDescent="0.25">
      <c r="A69">
        <v>1740</v>
      </c>
      <c r="B69" t="s">
        <v>21</v>
      </c>
      <c r="C69" t="s">
        <v>77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1740</v>
      </c>
      <c r="B70" t="s">
        <v>22</v>
      </c>
      <c r="C70" t="s">
        <v>77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1740</v>
      </c>
      <c r="B71" t="s">
        <v>64</v>
      </c>
      <c r="C71" t="s">
        <v>77</v>
      </c>
      <c r="D71" t="s">
        <v>35</v>
      </c>
      <c r="E71">
        <v>14</v>
      </c>
      <c r="F71">
        <v>18</v>
      </c>
      <c r="G71">
        <v>1</v>
      </c>
      <c r="H71">
        <v>24</v>
      </c>
      <c r="J71">
        <f t="shared" si="2"/>
        <v>33428</v>
      </c>
      <c r="L71">
        <f t="shared" si="3"/>
        <v>14.923214285714286</v>
      </c>
    </row>
    <row r="72" spans="1:12" x14ac:dyDescent="0.25">
      <c r="A72">
        <v>1740</v>
      </c>
      <c r="B72" t="s">
        <v>65</v>
      </c>
      <c r="C72" t="s">
        <v>77</v>
      </c>
      <c r="D72" t="s">
        <v>35</v>
      </c>
      <c r="E72">
        <v>33</v>
      </c>
      <c r="F72">
        <v>9</v>
      </c>
      <c r="J72">
        <f t="shared" si="2"/>
        <v>74928</v>
      </c>
      <c r="L72">
        <f t="shared" si="3"/>
        <v>33.450000000000003</v>
      </c>
    </row>
    <row r="73" spans="1:12" x14ac:dyDescent="0.25">
      <c r="A73">
        <v>1740</v>
      </c>
      <c r="B73" t="s">
        <v>66</v>
      </c>
      <c r="C73" t="s">
        <v>77</v>
      </c>
      <c r="D73" t="s">
        <v>35</v>
      </c>
      <c r="E73">
        <v>27</v>
      </c>
      <c r="J73">
        <f t="shared" si="2"/>
        <v>60480</v>
      </c>
      <c r="L73">
        <f t="shared" si="3"/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topLeftCell="A25" workbookViewId="0">
      <selection activeCell="P15" sqref="P1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59</v>
      </c>
      <c r="C3" t="s">
        <v>101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101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101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101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101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101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64</v>
      </c>
      <c r="C46" t="s">
        <v>101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65</v>
      </c>
      <c r="C47" t="s">
        <v>101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73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66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67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101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101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101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101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101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101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101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101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101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101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56</v>
      </c>
      <c r="C66" t="s">
        <v>101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101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64</v>
      </c>
      <c r="C69" t="s">
        <v>101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66</v>
      </c>
      <c r="C70" t="s">
        <v>101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2025-04-29T19:22:06Z</dcterms:modified>
</cp:coreProperties>
</file>