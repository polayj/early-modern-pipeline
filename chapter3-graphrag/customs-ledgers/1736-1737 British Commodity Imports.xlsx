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09" documentId="8_{0BBC90C6-FAE7-47DF-82DE-26115696D424}" xr6:coauthVersionLast="47" xr6:coauthVersionMax="47" xr10:uidLastSave="{D8010009-10ED-4F17-AC0C-699FCB8765EF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Barbados!$A$1:$N$58</definedName>
    <definedName name="_xlnm._FilterDatabase" localSheetId="5" hidden="1">Jamaica!$A$1:$O$61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11" l="1"/>
  <c r="H85" i="8"/>
  <c r="H83" i="7"/>
  <c r="H83" i="6"/>
  <c r="H86" i="5"/>
  <c r="H71" i="3"/>
  <c r="L100" i="3"/>
  <c r="J100" i="3"/>
  <c r="J70" i="3"/>
  <c r="L70" i="3" s="1"/>
  <c r="H85" i="2"/>
  <c r="H23" i="11"/>
  <c r="H23" i="8"/>
  <c r="L54" i="8"/>
  <c r="J54" i="8"/>
  <c r="J7" i="8"/>
  <c r="L7" i="8" s="1"/>
  <c r="H22" i="7"/>
  <c r="H22" i="6"/>
  <c r="H23" i="5"/>
  <c r="H31" i="5"/>
  <c r="L8" i="4"/>
  <c r="J8" i="4"/>
  <c r="H20" i="3"/>
  <c r="J20" i="3" s="1"/>
  <c r="L20" i="3" s="1"/>
  <c r="J37" i="3"/>
  <c r="L37" i="3" s="1"/>
  <c r="J47" i="3"/>
  <c r="L47" i="3" s="1"/>
  <c r="J24" i="3"/>
  <c r="L24" i="3" s="1"/>
  <c r="J7" i="3"/>
  <c r="L7" i="3" s="1"/>
  <c r="J18" i="3"/>
  <c r="L18" i="3" s="1"/>
  <c r="H23" i="2"/>
  <c r="J118" i="5"/>
  <c r="L118" i="5" s="1"/>
  <c r="J72" i="5"/>
  <c r="L72" i="5" s="1"/>
  <c r="J88" i="3"/>
  <c r="L88" i="3" s="1"/>
  <c r="J117" i="2"/>
  <c r="L117" i="2" s="1"/>
  <c r="L54" i="11"/>
  <c r="J54" i="11"/>
  <c r="J10" i="11"/>
  <c r="L10" i="11" s="1"/>
  <c r="J54" i="5"/>
  <c r="L54" i="5" s="1"/>
  <c r="J8" i="5"/>
  <c r="L8" i="5" s="1"/>
  <c r="J15" i="4"/>
  <c r="L15" i="4" s="1"/>
  <c r="J17" i="4"/>
  <c r="L17" i="4" s="1"/>
  <c r="J13" i="4"/>
  <c r="L13" i="4" s="1"/>
  <c r="J10" i="4"/>
  <c r="L10" i="4" s="1"/>
  <c r="J6" i="4"/>
  <c r="L6" i="4" s="1"/>
  <c r="J25" i="3"/>
  <c r="L25" i="3" s="1"/>
  <c r="J29" i="2"/>
  <c r="L29" i="2" s="1"/>
  <c r="J8" i="2"/>
  <c r="L8" i="2" s="1"/>
  <c r="C23" i="1"/>
  <c r="C24" i="1"/>
  <c r="B23" i="1"/>
  <c r="B24" i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8" i="8"/>
  <c r="L128" i="8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L21" i="8"/>
  <c r="J21" i="8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6" i="8"/>
  <c r="L6" i="8" s="1"/>
  <c r="J5" i="8"/>
  <c r="L5" i="8" s="1"/>
  <c r="J4" i="8"/>
  <c r="L4" i="8" s="1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L112" i="7"/>
  <c r="J112" i="7"/>
  <c r="J111" i="7"/>
  <c r="L111" i="7" s="1"/>
  <c r="J110" i="7"/>
  <c r="L110" i="7" s="1"/>
  <c r="J109" i="7"/>
  <c r="L109" i="7" s="1"/>
  <c r="L108" i="7"/>
  <c r="J108" i="7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L108" i="6"/>
  <c r="J108" i="6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9" i="2"/>
  <c r="L119" i="2" s="1"/>
  <c r="J118" i="2"/>
  <c r="L118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9" i="3"/>
  <c r="L19" i="3" s="1"/>
  <c r="J21" i="3"/>
  <c r="L21" i="3" s="1"/>
  <c r="J22" i="3"/>
  <c r="L22" i="3" s="1"/>
  <c r="J23" i="3"/>
  <c r="L23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5" i="3"/>
  <c r="L85" i="3" s="1"/>
  <c r="J86" i="3"/>
  <c r="L86" i="3" s="1"/>
  <c r="J87" i="3"/>
  <c r="L87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1" i="3"/>
  <c r="L101" i="3" s="1"/>
  <c r="J102" i="3"/>
  <c r="L102" i="3" s="1"/>
  <c r="J103" i="3"/>
  <c r="L103" i="3" s="1"/>
  <c r="J104" i="3"/>
  <c r="L104" i="3" s="1"/>
  <c r="J105" i="3"/>
  <c r="L105" i="3" s="1"/>
  <c r="J106" i="3"/>
  <c r="L106" i="3" s="1"/>
  <c r="J3" i="4"/>
  <c r="L3" i="4" s="1"/>
  <c r="J4" i="4"/>
  <c r="L4" i="4" s="1"/>
  <c r="J5" i="4"/>
  <c r="L5" i="4" s="1"/>
  <c r="J7" i="4"/>
  <c r="L7" i="4" s="1"/>
  <c r="J9" i="4"/>
  <c r="L9" i="4" s="1"/>
  <c r="J11" i="4"/>
  <c r="L11" i="4" s="1"/>
  <c r="J12" i="4"/>
  <c r="L12" i="4" s="1"/>
  <c r="J14" i="4"/>
  <c r="L14" i="4" s="1"/>
  <c r="J16" i="4"/>
  <c r="L16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" i="5"/>
  <c r="L3" i="5" s="1"/>
  <c r="J4" i="5"/>
  <c r="L4" i="5" s="1"/>
  <c r="J5" i="5"/>
  <c r="L5" i="5" s="1"/>
  <c r="J6" i="5"/>
  <c r="L6" i="5" s="1"/>
  <c r="J7" i="5"/>
  <c r="L7" i="5" s="1"/>
  <c r="J9" i="5"/>
  <c r="L9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5" i="5"/>
  <c r="L55" i="5" s="1"/>
  <c r="J56" i="5"/>
  <c r="L56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3" i="5"/>
  <c r="L73" i="5" s="1"/>
  <c r="J74" i="5"/>
  <c r="L74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9" i="5"/>
  <c r="L119" i="5" s="1"/>
  <c r="J120" i="5"/>
  <c r="L120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13" i="1" l="1"/>
  <c r="D5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<sst xmlns="http://schemas.openxmlformats.org/spreadsheetml/2006/main" count="3500" uniqueCount="158">
  <si>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</si>
  <si>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</si>
  <si>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</si>
  <si>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</si>
  <si>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</si>
  <si>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</si>
  <si>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</si>
  <si>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</si>
  <si>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</si>
  <si>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</si>
  <si>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</si>
  <si>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</si>
  <si>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</si>
  <si>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</si>
  <si>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</si>
  <si>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</si>
  <si>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</si>
  <si>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</si>
  <si>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</si>
  <si>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</si>
  <si>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</si>
  <si>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</si>
  <si>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</si>
  <si>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</si>
  <si>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</si>
  <si>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</si>
  <si>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</si>
  <si>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</si>
  <si>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</si>
  <si>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</si>
  <si>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</si>
  <si>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</si>
  <si>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</si>
  <si>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</si>
  <si>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</si>
  <si>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</si>
  <si>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</si>
  <si>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</si>
  <si>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</si>
  <si>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</si>
  <si>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</si>
  <si>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</si>
  <si>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</si>
  <si>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</si>
  <si>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</si>
  <si>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</si>
  <si>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</si>
  <si>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</si>
  <si>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</si>
  <si>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</si>
  <si>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</si>
  <si>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</si>
  <si>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</si>
  <si>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</si>
  <si>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</si>
  <si>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</si>
  <si>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</si>
  <si>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</si>
  <si>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</si>
  <si>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</si>
  <si>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</si>
  <si>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</si>
  <si>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</si>
  <si>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</si>
  <si>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</si>
  <si>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</si>
  <si>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</si>
  <si>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</si>
  <si>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</si>
  <si>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</si>
  <si>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</si>
  <si>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</si>
  <si>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</si>
  <si>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</si>
  <si>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</si>
  <si>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</si>
  <si>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</si>
  <si>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</si>
  <si>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</si>
  <si>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</si>
  <si>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</si>
  <si>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</si>
  <si>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</si>
  <si>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</si>
  <si>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</si>
  <si>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</si>
  <si>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</si>
  <si>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</si>
  <si>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</si>
  <si>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</si>
  <si>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</si>
  <si>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</si>
  <si>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</si>
  <si>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</si>
  <si>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</si>
  <si>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</si>
  <si>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</si>
  <si>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</si>
  <si>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</si>
  <si>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</si>
  <si>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</si>
  <si>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</si>
  <si>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</si>
  <si>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</si>
  <si>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</si>
  <si>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</si>
  <si>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</si>
  <si>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9g</t>
  </si>
  <si>
    <t>1187g</t>
  </si>
  <si>
    <t>16t 1h 25g</t>
  </si>
  <si>
    <t>123bags+85lb</t>
  </si>
  <si>
    <t>Balsam Capavia</t>
  </si>
  <si>
    <t>110g</t>
  </si>
  <si>
    <t>124.5g</t>
  </si>
  <si>
    <t>2771.75g</t>
  </si>
  <si>
    <t>211t 2h 7g</t>
  </si>
  <si>
    <t>123bags+44lb</t>
  </si>
  <si>
    <t>35g</t>
  </si>
  <si>
    <t>1t 3h 56g</t>
  </si>
  <si>
    <t>5831g</t>
  </si>
  <si>
    <t>24.25g</t>
  </si>
  <si>
    <t>147229g</t>
  </si>
  <si>
    <t>56t1h58g</t>
  </si>
  <si>
    <t>554bags+152lb</t>
  </si>
  <si>
    <t>100g</t>
  </si>
  <si>
    <t>922g</t>
  </si>
  <si>
    <t>16t 2h 12g</t>
  </si>
  <si>
    <t>167bags+33lb</t>
  </si>
  <si>
    <t>1g</t>
  </si>
  <si>
    <t>286g</t>
  </si>
  <si>
    <t>2h 21g</t>
  </si>
  <si>
    <t>3bags</t>
  </si>
  <si>
    <t>Archelia</t>
  </si>
  <si>
    <t>3g</t>
  </si>
  <si>
    <t>2416g</t>
  </si>
  <si>
    <t>115t 2h 27g</t>
  </si>
  <si>
    <t>422bags+58lb</t>
  </si>
  <si>
    <t>1h 48g</t>
  </si>
  <si>
    <t>2bags</t>
  </si>
  <si>
    <t>428.5g</t>
  </si>
  <si>
    <t>1h 41g</t>
  </si>
  <si>
    <t>870bag+140lb</t>
  </si>
  <si>
    <t>4429.5g</t>
  </si>
  <si>
    <t>19t 2h 41g</t>
  </si>
  <si>
    <t>Wood, Camwood</t>
  </si>
  <si>
    <t>886bags+12lb</t>
  </si>
  <si>
    <t>23438.5g</t>
  </si>
  <si>
    <t>6t 3h 52g</t>
  </si>
  <si>
    <t>638bags+5lb</t>
  </si>
  <si>
    <t>602.5g</t>
  </si>
  <si>
    <t>505bags</t>
  </si>
  <si>
    <t>27g</t>
  </si>
  <si>
    <t>74bags+74lb</t>
  </si>
  <si>
    <t>1499.5g</t>
  </si>
  <si>
    <t>520g</t>
  </si>
  <si>
    <t>542bags+180lb</t>
  </si>
  <si>
    <t>147g</t>
  </si>
  <si>
    <t>71bags+30lb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</si>
</sst>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I16" sqref="I16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0.50580357142857146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0.50580357142857146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0.625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0.1</v>
      </c>
      <c r="D3">
        <f t="shared" ref="D3:D31" si="0">B3+C3</f>
        <v>0.72499999999999998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19436.588839285712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7825.1504464285708</v>
      </c>
      <c r="D4">
        <f t="shared" si="0"/>
        <v>27261.739285714284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205.42321428571429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8.0191964285714281</v>
      </c>
      <c r="D6">
        <f t="shared" si="0"/>
        <v>213.44241071428573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124.63035714285716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314.20133928571431</v>
      </c>
      <c r="D7">
        <f t="shared" si="0"/>
        <v>438.83169642857149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591.12142857142862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473.52946428571425</v>
      </c>
      <c r="D8">
        <f t="shared" si="0"/>
        <v>1064.6508928571429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27.699107142857144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27.387946428571428</v>
      </c>
      <c r="D9">
        <f t="shared" si="0"/>
        <v>55.087053571428569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19.067857142857143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7.2022321428571425</v>
      </c>
      <c r="D10">
        <f t="shared" si="0"/>
        <v>26.270089285714285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118.20044642857142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50.806696428571428</v>
      </c>
      <c r="D11">
        <f t="shared" si="0"/>
        <v>169.00714285714287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26.975892857142853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0</v>
      </c>
      <c r="D12">
        <f t="shared" si="0"/>
        <v>26.975892857142853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0.4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0</v>
      </c>
      <c r="D13">
        <f t="shared" si="0"/>
        <v>0.4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193.85446428571427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79.707142857142856</v>
      </c>
      <c r="D14">
        <f t="shared" si="0"/>
        <v>273.56160714285716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3.1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0</v>
      </c>
      <c r="D15">
        <f t="shared" si="0"/>
        <v>3.1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691.45290178571418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135.86294642857143</v>
      </c>
      <c r="D16">
        <f t="shared" si="0"/>
        <v>827.31584821428555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0.27812500000000001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1.0415178571428572</v>
      </c>
      <c r="D17">
        <f t="shared" si="0"/>
        <v>1.3196428571428571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1.9946428571428572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2.5892857142857141E-2</v>
      </c>
      <c r="D18">
        <f t="shared" si="0"/>
        <v>2.0205357142857143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0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4.4642857142857144</v>
      </c>
      <c r="D19">
        <f t="shared" si="0"/>
        <v>4.4642857142857144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2.7441964285714282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0.40892857142857147</v>
      </c>
      <c r="D20">
        <f t="shared" si="0"/>
        <v>3.1531249999999997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18.333035714285714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3.1616071428571431</v>
      </c>
      <c r="D25">
        <f t="shared" si="0"/>
        <v>21.494642857142857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472.06763392857141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33.236160714285717</v>
      </c>
      <c r="D26">
        <f t="shared" si="0"/>
        <v>505.30379464285716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35.5625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0</v>
      </c>
      <c r="D27">
        <f t="shared" si="0"/>
        <v>35.5625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506.62232142857147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209.04107142857143</v>
      </c>
      <c r="D28">
        <f t="shared" si="0"/>
        <v>715.66339285714287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615.84419642857142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256.88392857142856</v>
      </c>
      <c r="D29">
        <f t="shared" si="0"/>
        <v>872.72812499999998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76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10.649999999999999</v>
      </c>
      <c r="D30">
        <f t="shared" si="0"/>
        <v>86.65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29"/>
  <sheetViews>
    <sheetView topLeftCell="A115" workbookViewId="0">
      <selection activeCell="H108" sqref="H108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1737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1737</v>
      </c>
      <c r="B3" t="s">
        <v>57</v>
      </c>
      <c r="C3" t="s">
        <v>53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1737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1737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1737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1737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1737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1737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1737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1737</v>
      </c>
      <c r="B11" t="s">
        <v>5</v>
      </c>
      <c r="C11" t="s">
        <v>53</v>
      </c>
      <c r="D11" t="s">
        <v>33</v>
      </c>
      <c r="F11">
        <v>12</v>
      </c>
      <c r="J11">
        <f t="shared" si="0"/>
        <v>1344</v>
      </c>
      <c r="L11">
        <f t="shared" si="1"/>
        <v>0.6</v>
      </c>
    </row>
    <row r="12" spans="1:15" x14ac:dyDescent="0.25">
      <c r="A12">
        <v>1737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1737</v>
      </c>
      <c r="B13" t="s">
        <v>6</v>
      </c>
      <c r="C13" t="s">
        <v>53</v>
      </c>
      <c r="D13" t="s">
        <v>33</v>
      </c>
      <c r="F13">
        <v>22164</v>
      </c>
      <c r="G13">
        <v>2</v>
      </c>
      <c r="H13">
        <v>18</v>
      </c>
      <c r="J13">
        <f t="shared" si="0"/>
        <v>2482442</v>
      </c>
      <c r="L13">
        <f t="shared" si="1"/>
        <v>1108.2330357142857</v>
      </c>
    </row>
    <row r="14" spans="1:15" x14ac:dyDescent="0.25">
      <c r="A14">
        <v>1737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1737</v>
      </c>
      <c r="B15" t="s">
        <v>60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1737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1737</v>
      </c>
      <c r="B17" t="s">
        <v>37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1737</v>
      </c>
      <c r="B18" t="s">
        <v>8</v>
      </c>
      <c r="C18" t="s">
        <v>53</v>
      </c>
      <c r="D18" t="s">
        <v>33</v>
      </c>
      <c r="F18">
        <v>18</v>
      </c>
      <c r="G18">
        <v>2</v>
      </c>
      <c r="H18">
        <v>11</v>
      </c>
      <c r="J18">
        <f t="shared" si="0"/>
        <v>2083</v>
      </c>
      <c r="L18">
        <f t="shared" si="1"/>
        <v>0.92991071428571426</v>
      </c>
    </row>
    <row r="19" spans="1:12" x14ac:dyDescent="0.25">
      <c r="A19">
        <v>1737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1737</v>
      </c>
      <c r="B20" t="s">
        <v>77</v>
      </c>
      <c r="C20" t="s">
        <v>53</v>
      </c>
      <c r="D20" t="s">
        <v>33</v>
      </c>
      <c r="F20">
        <v>1</v>
      </c>
      <c r="G20">
        <v>2</v>
      </c>
      <c r="J20">
        <f t="shared" si="0"/>
        <v>168</v>
      </c>
      <c r="L20">
        <f t="shared" si="1"/>
        <v>7.4999999999999997E-2</v>
      </c>
    </row>
    <row r="21" spans="1:12" x14ac:dyDescent="0.25">
      <c r="A21">
        <v>1737</v>
      </c>
      <c r="B21" t="s">
        <v>78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1737</v>
      </c>
      <c r="B22" t="s">
        <v>46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1737</v>
      </c>
      <c r="B23" t="s">
        <v>9</v>
      </c>
      <c r="C23" t="s">
        <v>53</v>
      </c>
      <c r="D23" t="s">
        <v>33</v>
      </c>
      <c r="H23">
        <f>123*200+85</f>
        <v>24685</v>
      </c>
      <c r="I23" t="s">
        <v>110</v>
      </c>
      <c r="J23">
        <f t="shared" si="0"/>
        <v>24685</v>
      </c>
      <c r="L23">
        <f t="shared" si="1"/>
        <v>11.020089285714286</v>
      </c>
    </row>
    <row r="24" spans="1:12" x14ac:dyDescent="0.25">
      <c r="A24">
        <v>1737</v>
      </c>
      <c r="B24" t="s">
        <v>10</v>
      </c>
      <c r="C24" t="s">
        <v>53</v>
      </c>
      <c r="D24" t="s">
        <v>33</v>
      </c>
      <c r="F24">
        <v>375</v>
      </c>
      <c r="J24">
        <f t="shared" si="0"/>
        <v>42000</v>
      </c>
      <c r="L24">
        <f t="shared" si="1"/>
        <v>18.75</v>
      </c>
    </row>
    <row r="25" spans="1:12" x14ac:dyDescent="0.25">
      <c r="A25">
        <v>1737</v>
      </c>
      <c r="B25" t="s">
        <v>11</v>
      </c>
      <c r="C25" t="s">
        <v>53</v>
      </c>
      <c r="D25" t="s">
        <v>33</v>
      </c>
      <c r="F25">
        <v>38</v>
      </c>
      <c r="G25">
        <v>1</v>
      </c>
      <c r="H25">
        <v>7</v>
      </c>
      <c r="J25">
        <f t="shared" si="0"/>
        <v>4291</v>
      </c>
      <c r="L25">
        <f t="shared" si="1"/>
        <v>1.9156249999999999</v>
      </c>
    </row>
    <row r="26" spans="1:12" x14ac:dyDescent="0.25">
      <c r="A26">
        <v>1737</v>
      </c>
      <c r="B26" t="s">
        <v>39</v>
      </c>
      <c r="C26" t="s">
        <v>53</v>
      </c>
      <c r="D26" t="s">
        <v>33</v>
      </c>
      <c r="H26">
        <v>64</v>
      </c>
      <c r="J26">
        <f t="shared" si="0"/>
        <v>64</v>
      </c>
      <c r="L26">
        <f t="shared" si="1"/>
        <v>2.8571428571428571E-2</v>
      </c>
    </row>
    <row r="27" spans="1:12" x14ac:dyDescent="0.25">
      <c r="A27">
        <v>1737</v>
      </c>
      <c r="B27" t="s">
        <v>79</v>
      </c>
      <c r="C27" t="s">
        <v>53</v>
      </c>
      <c r="D27" t="s">
        <v>33</v>
      </c>
      <c r="F27">
        <v>2</v>
      </c>
      <c r="J27">
        <f t="shared" si="0"/>
        <v>224</v>
      </c>
      <c r="L27">
        <f t="shared" si="1"/>
        <v>0.1</v>
      </c>
    </row>
    <row r="28" spans="1:12" x14ac:dyDescent="0.25">
      <c r="A28">
        <v>1737</v>
      </c>
      <c r="B28" t="s">
        <v>103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1737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1737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1737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1737</v>
      </c>
      <c r="B32" t="s">
        <v>12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1737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1737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1737</v>
      </c>
      <c r="B35" t="s">
        <v>13</v>
      </c>
      <c r="C35" t="s">
        <v>53</v>
      </c>
      <c r="D35" t="s">
        <v>33</v>
      </c>
      <c r="E35">
        <v>34</v>
      </c>
      <c r="J35">
        <f t="shared" si="0"/>
        <v>76160</v>
      </c>
      <c r="L35">
        <f t="shared" si="1"/>
        <v>34</v>
      </c>
    </row>
    <row r="36" spans="1:12" x14ac:dyDescent="0.25">
      <c r="A36">
        <v>1737</v>
      </c>
      <c r="B36" t="s">
        <v>14</v>
      </c>
      <c r="C36" t="s">
        <v>53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1737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1737</v>
      </c>
      <c r="B38" t="s">
        <v>27</v>
      </c>
      <c r="C38" t="s">
        <v>53</v>
      </c>
      <c r="D38" t="s">
        <v>33</v>
      </c>
      <c r="H38">
        <v>41210.5</v>
      </c>
      <c r="I38" t="s">
        <v>109</v>
      </c>
      <c r="J38">
        <f t="shared" si="0"/>
        <v>41210.5</v>
      </c>
      <c r="L38">
        <f t="shared" si="1"/>
        <v>18.397544642857142</v>
      </c>
    </row>
    <row r="39" spans="1:12" x14ac:dyDescent="0.25">
      <c r="A39">
        <v>1737</v>
      </c>
      <c r="B39" t="s">
        <v>15</v>
      </c>
      <c r="C39" t="s">
        <v>53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1737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1737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1737</v>
      </c>
      <c r="B42" t="s">
        <v>47</v>
      </c>
      <c r="C42" t="s">
        <v>53</v>
      </c>
      <c r="D42" t="s">
        <v>33</v>
      </c>
      <c r="H42">
        <v>90</v>
      </c>
      <c r="I42" t="s">
        <v>107</v>
      </c>
      <c r="J42">
        <f t="shared" si="0"/>
        <v>90</v>
      </c>
      <c r="L42">
        <f t="shared" si="1"/>
        <v>4.0178571428571432E-2</v>
      </c>
    </row>
    <row r="43" spans="1:12" x14ac:dyDescent="0.25">
      <c r="A43">
        <v>1737</v>
      </c>
      <c r="B43" t="s">
        <v>16</v>
      </c>
      <c r="C43" t="s">
        <v>53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1737</v>
      </c>
      <c r="B44" t="s">
        <v>17</v>
      </c>
      <c r="C44" t="s">
        <v>53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1737</v>
      </c>
      <c r="B45" t="s">
        <v>18</v>
      </c>
      <c r="C45" t="s">
        <v>53</v>
      </c>
      <c r="D45" t="s">
        <v>33</v>
      </c>
      <c r="H45">
        <v>11873</v>
      </c>
      <c r="I45" t="s">
        <v>108</v>
      </c>
      <c r="J45">
        <f t="shared" si="0"/>
        <v>11873</v>
      </c>
      <c r="L45">
        <f t="shared" si="1"/>
        <v>5.300446428571429</v>
      </c>
    </row>
    <row r="46" spans="1:12" x14ac:dyDescent="0.25">
      <c r="A46">
        <v>1737</v>
      </c>
      <c r="B46" t="s">
        <v>26</v>
      </c>
      <c r="C46" t="s">
        <v>53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1737</v>
      </c>
      <c r="B47" t="s">
        <v>84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1737</v>
      </c>
      <c r="B48" t="s">
        <v>19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1737</v>
      </c>
      <c r="B49" t="s">
        <v>45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1737</v>
      </c>
      <c r="B50" t="s">
        <v>85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1737</v>
      </c>
      <c r="B51" t="s">
        <v>54</v>
      </c>
      <c r="C51" t="s">
        <v>53</v>
      </c>
      <c r="D51" t="s">
        <v>33</v>
      </c>
      <c r="H51">
        <v>520</v>
      </c>
      <c r="J51">
        <f t="shared" si="0"/>
        <v>520</v>
      </c>
      <c r="L51">
        <f t="shared" si="1"/>
        <v>0.23214285714285715</v>
      </c>
    </row>
    <row r="52" spans="1:12" x14ac:dyDescent="0.25">
      <c r="A52">
        <v>1737</v>
      </c>
      <c r="B52" t="s">
        <v>95</v>
      </c>
      <c r="C52" t="s">
        <v>53</v>
      </c>
      <c r="D52" t="s">
        <v>33</v>
      </c>
      <c r="H52">
        <v>149</v>
      </c>
      <c r="J52">
        <f t="shared" si="0"/>
        <v>149</v>
      </c>
      <c r="L52">
        <f t="shared" si="1"/>
        <v>6.6517857142857142E-2</v>
      </c>
    </row>
    <row r="53" spans="1:12" x14ac:dyDescent="0.25">
      <c r="A53">
        <v>1737</v>
      </c>
      <c r="B53" t="s">
        <v>20</v>
      </c>
      <c r="C53" t="s">
        <v>53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1737</v>
      </c>
      <c r="B54" t="s">
        <v>21</v>
      </c>
      <c r="C54" t="s">
        <v>53</v>
      </c>
      <c r="D54" t="s">
        <v>33</v>
      </c>
      <c r="H54">
        <v>33</v>
      </c>
      <c r="J54">
        <f t="shared" si="0"/>
        <v>33</v>
      </c>
      <c r="L54">
        <f t="shared" si="1"/>
        <v>1.4732142857142857E-2</v>
      </c>
    </row>
    <row r="55" spans="1:12" x14ac:dyDescent="0.25">
      <c r="A55">
        <v>1737</v>
      </c>
      <c r="B55" t="s">
        <v>22</v>
      </c>
      <c r="C55" t="s">
        <v>53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1737</v>
      </c>
      <c r="B56" t="s">
        <v>61</v>
      </c>
      <c r="C56" t="s">
        <v>53</v>
      </c>
      <c r="D56" t="s">
        <v>33</v>
      </c>
      <c r="E56">
        <v>13</v>
      </c>
      <c r="F56">
        <v>5</v>
      </c>
      <c r="J56">
        <f t="shared" si="0"/>
        <v>29680</v>
      </c>
      <c r="L56">
        <f t="shared" si="1"/>
        <v>13.25</v>
      </c>
    </row>
    <row r="57" spans="1:12" x14ac:dyDescent="0.25">
      <c r="A57">
        <v>1737</v>
      </c>
      <c r="B57" t="s">
        <v>99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1737</v>
      </c>
      <c r="B58" t="s">
        <v>87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1737</v>
      </c>
      <c r="B59" t="s">
        <v>62</v>
      </c>
      <c r="C59" t="s">
        <v>53</v>
      </c>
      <c r="D59" t="s">
        <v>33</v>
      </c>
      <c r="E59">
        <v>13</v>
      </c>
      <c r="F59">
        <v>4</v>
      </c>
      <c r="G59">
        <v>2</v>
      </c>
      <c r="H59">
        <v>22</v>
      </c>
      <c r="J59">
        <f t="shared" si="0"/>
        <v>29646</v>
      </c>
      <c r="L59">
        <f t="shared" si="1"/>
        <v>13.234821428571429</v>
      </c>
    </row>
    <row r="60" spans="1:12" x14ac:dyDescent="0.25">
      <c r="A60">
        <v>1737</v>
      </c>
      <c r="B60" t="s">
        <v>88</v>
      </c>
      <c r="C60" t="s">
        <v>53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1737</v>
      </c>
      <c r="B61" t="s">
        <v>63</v>
      </c>
      <c r="C61" t="s">
        <v>53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1737</v>
      </c>
      <c r="B62" t="s">
        <v>89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1737</v>
      </c>
      <c r="B63" t="s">
        <v>70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1737</v>
      </c>
      <c r="B64" t="s">
        <v>64</v>
      </c>
      <c r="C64" t="s">
        <v>53</v>
      </c>
      <c r="D64" t="s">
        <v>33</v>
      </c>
      <c r="E64">
        <v>60</v>
      </c>
      <c r="J64">
        <f t="shared" si="0"/>
        <v>134400</v>
      </c>
      <c r="L64">
        <f t="shared" si="1"/>
        <v>60</v>
      </c>
    </row>
    <row r="65" spans="1:12" x14ac:dyDescent="0.25">
      <c r="A65">
        <v>1737</v>
      </c>
      <c r="B65" t="s">
        <v>65</v>
      </c>
      <c r="C65" t="s">
        <v>53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1737</v>
      </c>
      <c r="B66" t="s">
        <v>55</v>
      </c>
      <c r="C66" t="s">
        <v>53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1737</v>
      </c>
      <c r="B67" t="s">
        <v>57</v>
      </c>
      <c r="C67" t="s">
        <v>53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1737</v>
      </c>
      <c r="B68" t="s">
        <v>36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1737</v>
      </c>
      <c r="B69" t="s">
        <v>4</v>
      </c>
      <c r="C69" t="s">
        <v>53</v>
      </c>
      <c r="D69" t="s">
        <v>35</v>
      </c>
      <c r="J69">
        <f t="shared" ref="J69:J129" si="2">(E69*2240)+(F69*112)+(G69*28)+H69</f>
        <v>0</v>
      </c>
      <c r="L69">
        <f t="shared" ref="L69:L129" si="3">J69/2240</f>
        <v>0</v>
      </c>
    </row>
    <row r="70" spans="1:12" x14ac:dyDescent="0.25">
      <c r="A70">
        <v>1737</v>
      </c>
      <c r="B70" t="s">
        <v>58</v>
      </c>
      <c r="C70" t="s">
        <v>53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1737</v>
      </c>
      <c r="B71" t="s">
        <v>69</v>
      </c>
      <c r="C71" t="s">
        <v>53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1737</v>
      </c>
      <c r="B72" t="s">
        <v>43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1737</v>
      </c>
      <c r="B73" t="s">
        <v>76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1737</v>
      </c>
      <c r="B74" t="s">
        <v>5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1737</v>
      </c>
      <c r="B75" t="s">
        <v>59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1737</v>
      </c>
      <c r="B76" t="s">
        <v>6</v>
      </c>
      <c r="C76" t="s">
        <v>53</v>
      </c>
      <c r="D76" t="s">
        <v>35</v>
      </c>
      <c r="F76">
        <v>12493</v>
      </c>
      <c r="G76">
        <v>1</v>
      </c>
      <c r="H76">
        <v>17</v>
      </c>
      <c r="J76">
        <f t="shared" si="2"/>
        <v>1399261</v>
      </c>
      <c r="L76">
        <f t="shared" si="3"/>
        <v>624.67008928571431</v>
      </c>
    </row>
    <row r="77" spans="1:12" x14ac:dyDescent="0.25">
      <c r="A77">
        <v>1737</v>
      </c>
      <c r="B77" t="s">
        <v>60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1737</v>
      </c>
      <c r="B78" t="s">
        <v>7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1737</v>
      </c>
      <c r="B79" t="s">
        <v>37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1737</v>
      </c>
      <c r="B80" t="s">
        <v>8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1737</v>
      </c>
      <c r="B81" t="s">
        <v>40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1737</v>
      </c>
      <c r="B82" t="s">
        <v>77</v>
      </c>
      <c r="C82" t="s">
        <v>53</v>
      </c>
      <c r="D82" t="s">
        <v>35</v>
      </c>
      <c r="F82">
        <v>3</v>
      </c>
      <c r="G82">
        <v>1</v>
      </c>
      <c r="H82">
        <v>10</v>
      </c>
      <c r="J82">
        <f t="shared" si="2"/>
        <v>374</v>
      </c>
      <c r="L82">
        <f t="shared" si="3"/>
        <v>0.1669642857142857</v>
      </c>
    </row>
    <row r="83" spans="1:12" x14ac:dyDescent="0.25">
      <c r="A83">
        <v>1737</v>
      </c>
      <c r="B83" t="s">
        <v>78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1737</v>
      </c>
      <c r="B84" t="s">
        <v>46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1737</v>
      </c>
      <c r="B85" t="s">
        <v>9</v>
      </c>
      <c r="C85" t="s">
        <v>53</v>
      </c>
      <c r="D85" t="s">
        <v>35</v>
      </c>
      <c r="H85">
        <f>870*200+140</f>
        <v>174140</v>
      </c>
      <c r="I85" t="s">
        <v>141</v>
      </c>
      <c r="J85">
        <f t="shared" si="2"/>
        <v>174140</v>
      </c>
      <c r="L85">
        <f t="shared" si="3"/>
        <v>77.741071428571431</v>
      </c>
    </row>
    <row r="86" spans="1:12" x14ac:dyDescent="0.25">
      <c r="A86">
        <v>1737</v>
      </c>
      <c r="B86" t="s">
        <v>10</v>
      </c>
      <c r="C86" t="s">
        <v>53</v>
      </c>
      <c r="D86" t="s">
        <v>35</v>
      </c>
      <c r="F86">
        <v>1784</v>
      </c>
      <c r="G86">
        <v>1</v>
      </c>
      <c r="H86">
        <v>2</v>
      </c>
      <c r="J86">
        <f t="shared" si="2"/>
        <v>199838</v>
      </c>
      <c r="L86">
        <f t="shared" si="3"/>
        <v>89.213392857142864</v>
      </c>
    </row>
    <row r="87" spans="1:12" x14ac:dyDescent="0.25">
      <c r="A87">
        <v>1737</v>
      </c>
      <c r="B87" t="s">
        <v>11</v>
      </c>
      <c r="C87" t="s">
        <v>53</v>
      </c>
      <c r="D87" t="s">
        <v>35</v>
      </c>
      <c r="F87">
        <v>52</v>
      </c>
      <c r="G87">
        <v>3</v>
      </c>
      <c r="H87">
        <v>20</v>
      </c>
      <c r="J87">
        <f t="shared" si="2"/>
        <v>5928</v>
      </c>
      <c r="L87">
        <f t="shared" si="3"/>
        <v>2.6464285714285714</v>
      </c>
    </row>
    <row r="88" spans="1:12" x14ac:dyDescent="0.25">
      <c r="A88">
        <v>1737</v>
      </c>
      <c r="B88" t="s">
        <v>39</v>
      </c>
      <c r="C88" t="s">
        <v>53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1737</v>
      </c>
      <c r="B89" t="s">
        <v>79</v>
      </c>
      <c r="C89" t="s">
        <v>53</v>
      </c>
      <c r="D89" t="s">
        <v>35</v>
      </c>
      <c r="H89">
        <v>94</v>
      </c>
      <c r="J89">
        <f t="shared" si="2"/>
        <v>94</v>
      </c>
      <c r="L89">
        <f t="shared" si="3"/>
        <v>4.1964285714285711E-2</v>
      </c>
    </row>
    <row r="90" spans="1:12" x14ac:dyDescent="0.25">
      <c r="A90">
        <v>1737</v>
      </c>
      <c r="B90" t="s">
        <v>103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1737</v>
      </c>
      <c r="B91" t="s">
        <v>44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1737</v>
      </c>
      <c r="B92" t="s">
        <v>97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1737</v>
      </c>
      <c r="B93" t="s">
        <v>12</v>
      </c>
      <c r="C93" t="s">
        <v>53</v>
      </c>
      <c r="D93" t="s">
        <v>35</v>
      </c>
      <c r="H93">
        <v>120</v>
      </c>
      <c r="J93">
        <f t="shared" si="2"/>
        <v>120</v>
      </c>
      <c r="L93">
        <f t="shared" si="3"/>
        <v>5.3571428571428568E-2</v>
      </c>
    </row>
    <row r="94" spans="1:12" x14ac:dyDescent="0.25">
      <c r="A94">
        <v>1737</v>
      </c>
      <c r="B94" t="s">
        <v>82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1737</v>
      </c>
      <c r="B95" t="s">
        <v>34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1737</v>
      </c>
      <c r="B96" t="s">
        <v>13</v>
      </c>
      <c r="C96" t="s">
        <v>53</v>
      </c>
      <c r="D96" t="s">
        <v>35</v>
      </c>
      <c r="E96">
        <v>30</v>
      </c>
      <c r="F96">
        <v>17</v>
      </c>
      <c r="G96">
        <v>3</v>
      </c>
      <c r="H96">
        <v>22</v>
      </c>
      <c r="J96">
        <f t="shared" si="2"/>
        <v>69210</v>
      </c>
      <c r="L96">
        <f t="shared" si="3"/>
        <v>30.897321428571427</v>
      </c>
    </row>
    <row r="97" spans="1:12" x14ac:dyDescent="0.25">
      <c r="A97">
        <v>1737</v>
      </c>
      <c r="B97" t="s">
        <v>14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1737</v>
      </c>
      <c r="B98" t="s">
        <v>23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1737</v>
      </c>
      <c r="B99" t="s">
        <v>27</v>
      </c>
      <c r="C99" t="s">
        <v>53</v>
      </c>
      <c r="D99" t="s">
        <v>35</v>
      </c>
      <c r="H99">
        <v>1040.5</v>
      </c>
      <c r="I99" t="s">
        <v>140</v>
      </c>
      <c r="J99">
        <f t="shared" si="2"/>
        <v>1040.5</v>
      </c>
      <c r="L99">
        <f t="shared" si="3"/>
        <v>0.46450892857142856</v>
      </c>
    </row>
    <row r="100" spans="1:12" x14ac:dyDescent="0.25">
      <c r="A100">
        <v>1737</v>
      </c>
      <c r="B100" t="s">
        <v>15</v>
      </c>
      <c r="C100" t="s">
        <v>53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1737</v>
      </c>
      <c r="B101" t="s">
        <v>93</v>
      </c>
      <c r="C101" t="s">
        <v>53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1737</v>
      </c>
      <c r="B102" t="s">
        <v>42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1737</v>
      </c>
      <c r="B103" t="s">
        <v>83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1737</v>
      </c>
      <c r="B104" t="s">
        <v>47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1737</v>
      </c>
      <c r="B105" t="s">
        <v>16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1737</v>
      </c>
      <c r="B106" t="s">
        <v>17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1737</v>
      </c>
      <c r="B107" t="s">
        <v>18</v>
      </c>
      <c r="C107" t="s">
        <v>53</v>
      </c>
      <c r="D107" t="s">
        <v>35</v>
      </c>
      <c r="H107">
        <v>4286</v>
      </c>
      <c r="I107" t="s">
        <v>139</v>
      </c>
      <c r="J107">
        <f t="shared" si="2"/>
        <v>4286</v>
      </c>
      <c r="L107">
        <f t="shared" si="3"/>
        <v>1.9133928571428571</v>
      </c>
    </row>
    <row r="108" spans="1:12" x14ac:dyDescent="0.25">
      <c r="A108">
        <v>1737</v>
      </c>
      <c r="B108" t="s">
        <v>26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1737</v>
      </c>
      <c r="B109" t="s">
        <v>84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1737</v>
      </c>
      <c r="B110" t="s">
        <v>19</v>
      </c>
      <c r="C110" t="s">
        <v>53</v>
      </c>
      <c r="D110" t="s">
        <v>35</v>
      </c>
      <c r="G110">
        <v>1</v>
      </c>
      <c r="H110">
        <v>8</v>
      </c>
      <c r="J110">
        <f t="shared" si="2"/>
        <v>36</v>
      </c>
      <c r="L110">
        <f t="shared" si="3"/>
        <v>1.607142857142857E-2</v>
      </c>
    </row>
    <row r="111" spans="1:12" x14ac:dyDescent="0.25">
      <c r="A111">
        <v>1737</v>
      </c>
      <c r="B111" t="s">
        <v>45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1737</v>
      </c>
      <c r="B112" t="s">
        <v>85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1737</v>
      </c>
      <c r="B113" t="s">
        <v>54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1737</v>
      </c>
      <c r="B114" t="s">
        <v>95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1737</v>
      </c>
      <c r="B115" t="s">
        <v>20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1737</v>
      </c>
      <c r="B116" t="s">
        <v>21</v>
      </c>
      <c r="C116" t="s">
        <v>53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1737</v>
      </c>
      <c r="B117" t="s">
        <v>105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1737</v>
      </c>
      <c r="B118" t="s">
        <v>22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1737</v>
      </c>
      <c r="B119" t="s">
        <v>61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1737</v>
      </c>
      <c r="B120" t="s">
        <v>91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1737</v>
      </c>
      <c r="B121" t="s">
        <v>98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1737</v>
      </c>
      <c r="B122" t="s">
        <v>87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1737</v>
      </c>
      <c r="B123" t="s">
        <v>62</v>
      </c>
      <c r="C123" t="s">
        <v>53</v>
      </c>
      <c r="D123" t="s">
        <v>35</v>
      </c>
      <c r="E123">
        <v>28</v>
      </c>
      <c r="F123">
        <v>3</v>
      </c>
      <c r="G123">
        <v>1</v>
      </c>
      <c r="H123">
        <v>27</v>
      </c>
      <c r="J123">
        <f t="shared" si="2"/>
        <v>63111</v>
      </c>
      <c r="L123">
        <f t="shared" si="3"/>
        <v>28.174553571428572</v>
      </c>
    </row>
    <row r="124" spans="1:12" x14ac:dyDescent="0.25">
      <c r="A124">
        <v>1737</v>
      </c>
      <c r="B124" t="s">
        <v>88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1737</v>
      </c>
      <c r="B125" t="s">
        <v>63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1737</v>
      </c>
      <c r="B126" t="s">
        <v>89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1737</v>
      </c>
      <c r="B127" t="s">
        <v>70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1737</v>
      </c>
      <c r="B128" t="s">
        <v>64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1737</v>
      </c>
      <c r="B129" t="s">
        <v>65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6"/>
  <sheetViews>
    <sheetView topLeftCell="A85" workbookViewId="0">
      <selection activeCell="H91" sqref="H91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1737</v>
      </c>
      <c r="B2" t="s">
        <v>55</v>
      </c>
      <c r="C2" t="s">
        <v>56</v>
      </c>
      <c r="D2" t="s">
        <v>33</v>
      </c>
      <c r="J2">
        <f t="shared" ref="J2:J72" si="0">(E2*2240)+(F2*112)+(G2*28)+H2</f>
        <v>0</v>
      </c>
      <c r="L2">
        <f t="shared" ref="L2:L72" si="1">J2/2240</f>
        <v>0</v>
      </c>
    </row>
    <row r="3" spans="1:12" x14ac:dyDescent="0.25">
      <c r="A3">
        <v>1737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1737</v>
      </c>
      <c r="B4" t="s">
        <v>36</v>
      </c>
      <c r="C4" t="s">
        <v>56</v>
      </c>
      <c r="D4" t="s">
        <v>33</v>
      </c>
      <c r="H4">
        <v>27096</v>
      </c>
      <c r="J4">
        <f t="shared" si="0"/>
        <v>27096</v>
      </c>
      <c r="L4">
        <f t="shared" si="1"/>
        <v>12.096428571428572</v>
      </c>
    </row>
    <row r="5" spans="1:12" x14ac:dyDescent="0.25">
      <c r="A5">
        <v>1737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1737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1737</v>
      </c>
      <c r="B7" t="s">
        <v>111</v>
      </c>
      <c r="C7" t="s">
        <v>56</v>
      </c>
      <c r="D7" t="s">
        <v>33</v>
      </c>
      <c r="H7">
        <v>905</v>
      </c>
      <c r="J7">
        <f t="shared" si="0"/>
        <v>905</v>
      </c>
      <c r="L7">
        <f t="shared" si="1"/>
        <v>0.40401785714285715</v>
      </c>
    </row>
    <row r="8" spans="1:12" x14ac:dyDescent="0.25">
      <c r="A8">
        <v>1737</v>
      </c>
      <c r="B8" t="s">
        <v>92</v>
      </c>
      <c r="C8" t="s">
        <v>56</v>
      </c>
      <c r="D8" t="s">
        <v>33</v>
      </c>
      <c r="H8">
        <v>2438</v>
      </c>
      <c r="J8">
        <f t="shared" si="0"/>
        <v>2438</v>
      </c>
      <c r="L8">
        <f t="shared" si="1"/>
        <v>1.0883928571428572</v>
      </c>
    </row>
    <row r="9" spans="1:12" x14ac:dyDescent="0.25">
      <c r="A9">
        <v>1737</v>
      </c>
      <c r="B9" t="s">
        <v>43</v>
      </c>
      <c r="C9" t="s">
        <v>56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1737</v>
      </c>
      <c r="B10" t="s">
        <v>5</v>
      </c>
      <c r="C10" t="s">
        <v>56</v>
      </c>
      <c r="D10" t="s">
        <v>33</v>
      </c>
      <c r="G10">
        <v>2</v>
      </c>
      <c r="J10">
        <f t="shared" si="0"/>
        <v>56</v>
      </c>
      <c r="L10">
        <f t="shared" si="1"/>
        <v>2.5000000000000001E-2</v>
      </c>
    </row>
    <row r="11" spans="1:12" x14ac:dyDescent="0.25">
      <c r="A11">
        <v>1737</v>
      </c>
      <c r="B11" t="s">
        <v>59</v>
      </c>
      <c r="C11" t="s">
        <v>56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1737</v>
      </c>
      <c r="B12" t="s">
        <v>6</v>
      </c>
      <c r="C12" t="s">
        <v>56</v>
      </c>
      <c r="D12" t="s">
        <v>33</v>
      </c>
      <c r="F12">
        <v>71824</v>
      </c>
      <c r="G12">
        <v>2</v>
      </c>
      <c r="H12">
        <v>24</v>
      </c>
      <c r="J12">
        <f t="shared" si="0"/>
        <v>8044368</v>
      </c>
      <c r="L12">
        <f t="shared" si="1"/>
        <v>3591.2357142857145</v>
      </c>
    </row>
    <row r="13" spans="1:12" x14ac:dyDescent="0.25">
      <c r="A13">
        <v>1737</v>
      </c>
      <c r="B13" t="s">
        <v>60</v>
      </c>
      <c r="C13" t="s">
        <v>56</v>
      </c>
      <c r="D13" t="s">
        <v>33</v>
      </c>
      <c r="H13">
        <v>860</v>
      </c>
      <c r="J13">
        <f t="shared" si="0"/>
        <v>860</v>
      </c>
      <c r="L13">
        <f t="shared" si="1"/>
        <v>0.38392857142857145</v>
      </c>
    </row>
    <row r="14" spans="1:12" x14ac:dyDescent="0.25">
      <c r="A14">
        <v>1737</v>
      </c>
      <c r="B14" t="s">
        <v>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1737</v>
      </c>
      <c r="B15" t="s">
        <v>37</v>
      </c>
      <c r="C15" t="s">
        <v>56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1737</v>
      </c>
      <c r="B16" t="s">
        <v>8</v>
      </c>
      <c r="C16" t="s">
        <v>56</v>
      </c>
      <c r="D16" t="s">
        <v>33</v>
      </c>
      <c r="F16">
        <v>4089</v>
      </c>
      <c r="G16">
        <v>3</v>
      </c>
      <c r="H16">
        <v>13</v>
      </c>
      <c r="J16">
        <f t="shared" si="0"/>
        <v>458065</v>
      </c>
      <c r="L16">
        <f t="shared" si="1"/>
        <v>204.49330357142858</v>
      </c>
    </row>
    <row r="17" spans="1:12" x14ac:dyDescent="0.25">
      <c r="A17">
        <v>1737</v>
      </c>
      <c r="B17" t="s">
        <v>40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1737</v>
      </c>
      <c r="B18" t="s">
        <v>77</v>
      </c>
      <c r="C18" t="s">
        <v>56</v>
      </c>
      <c r="D18" t="s">
        <v>33</v>
      </c>
      <c r="F18">
        <v>9</v>
      </c>
      <c r="G18">
        <v>3</v>
      </c>
      <c r="H18">
        <v>14</v>
      </c>
      <c r="J18">
        <f t="shared" si="0"/>
        <v>1106</v>
      </c>
      <c r="L18">
        <f t="shared" si="1"/>
        <v>0.49375000000000002</v>
      </c>
    </row>
    <row r="19" spans="1:12" x14ac:dyDescent="0.25">
      <c r="A19">
        <v>1737</v>
      </c>
      <c r="B19" t="s">
        <v>78</v>
      </c>
      <c r="C19" t="s">
        <v>56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1737</v>
      </c>
      <c r="B20" t="s">
        <v>9</v>
      </c>
      <c r="C20" t="s">
        <v>56</v>
      </c>
      <c r="D20" t="s">
        <v>33</v>
      </c>
      <c r="H20">
        <f>123*200+44</f>
        <v>24644</v>
      </c>
      <c r="I20" t="s">
        <v>116</v>
      </c>
      <c r="J20">
        <f t="shared" si="0"/>
        <v>24644</v>
      </c>
      <c r="L20">
        <f t="shared" si="1"/>
        <v>11.001785714285715</v>
      </c>
    </row>
    <row r="21" spans="1:12" x14ac:dyDescent="0.25">
      <c r="A21">
        <v>1737</v>
      </c>
      <c r="B21" t="s">
        <v>10</v>
      </c>
      <c r="C21" t="s">
        <v>56</v>
      </c>
      <c r="D21" t="s">
        <v>33</v>
      </c>
      <c r="F21">
        <v>1936</v>
      </c>
      <c r="G21">
        <v>3</v>
      </c>
      <c r="H21">
        <v>14</v>
      </c>
      <c r="J21">
        <f t="shared" si="0"/>
        <v>216930</v>
      </c>
      <c r="L21">
        <f t="shared" si="1"/>
        <v>96.84375</v>
      </c>
    </row>
    <row r="22" spans="1:12" x14ac:dyDescent="0.25">
      <c r="A22">
        <v>1737</v>
      </c>
      <c r="B22" t="s">
        <v>11</v>
      </c>
      <c r="C22" t="s">
        <v>56</v>
      </c>
      <c r="D22" t="s">
        <v>33</v>
      </c>
      <c r="F22">
        <v>245</v>
      </c>
      <c r="H22">
        <v>3</v>
      </c>
      <c r="J22">
        <f t="shared" si="0"/>
        <v>27443</v>
      </c>
      <c r="L22">
        <f t="shared" si="1"/>
        <v>12.251339285714286</v>
      </c>
    </row>
    <row r="23" spans="1:12" x14ac:dyDescent="0.25">
      <c r="A23">
        <v>1737</v>
      </c>
      <c r="B23" t="s">
        <v>39</v>
      </c>
      <c r="C23" t="s">
        <v>56</v>
      </c>
      <c r="D23" t="s">
        <v>33</v>
      </c>
      <c r="H23">
        <v>1792</v>
      </c>
      <c r="J23">
        <f t="shared" si="0"/>
        <v>1792</v>
      </c>
      <c r="L23">
        <f t="shared" si="1"/>
        <v>0.8</v>
      </c>
    </row>
    <row r="24" spans="1:12" x14ac:dyDescent="0.25">
      <c r="A24">
        <v>1737</v>
      </c>
      <c r="B24" t="s">
        <v>79</v>
      </c>
      <c r="C24" t="s">
        <v>56</v>
      </c>
      <c r="D24" t="s">
        <v>33</v>
      </c>
      <c r="H24">
        <v>500</v>
      </c>
      <c r="J24">
        <f t="shared" si="0"/>
        <v>500</v>
      </c>
      <c r="L24">
        <f t="shared" si="1"/>
        <v>0.22321428571428573</v>
      </c>
    </row>
    <row r="25" spans="1:12" x14ac:dyDescent="0.25">
      <c r="A25">
        <v>1737</v>
      </c>
      <c r="B25" t="s">
        <v>102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1737</v>
      </c>
      <c r="B26" t="s">
        <v>44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1737</v>
      </c>
      <c r="B27" t="s">
        <v>12</v>
      </c>
      <c r="C27" t="s">
        <v>56</v>
      </c>
      <c r="D27" t="s">
        <v>33</v>
      </c>
      <c r="H27">
        <v>120</v>
      </c>
      <c r="J27">
        <f t="shared" si="0"/>
        <v>120</v>
      </c>
      <c r="L27">
        <f t="shared" si="1"/>
        <v>5.3571428571428568E-2</v>
      </c>
    </row>
    <row r="28" spans="1:12" x14ac:dyDescent="0.25">
      <c r="A28">
        <v>1737</v>
      </c>
      <c r="B28" t="s">
        <v>34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1737</v>
      </c>
      <c r="B29" t="s">
        <v>13</v>
      </c>
      <c r="C29" t="s">
        <v>56</v>
      </c>
      <c r="D29" t="s">
        <v>33</v>
      </c>
      <c r="E29">
        <v>1</v>
      </c>
      <c r="F29">
        <v>6</v>
      </c>
      <c r="H29">
        <v>11</v>
      </c>
      <c r="J29">
        <f t="shared" si="0"/>
        <v>2923</v>
      </c>
      <c r="L29">
        <f t="shared" si="1"/>
        <v>1.3049107142857144</v>
      </c>
    </row>
    <row r="30" spans="1:12" x14ac:dyDescent="0.25">
      <c r="A30">
        <v>1737</v>
      </c>
      <c r="B30" t="s">
        <v>14</v>
      </c>
      <c r="C30" t="s">
        <v>56</v>
      </c>
      <c r="D30" t="s">
        <v>33</v>
      </c>
      <c r="H30">
        <v>1100.5</v>
      </c>
      <c r="I30" t="s">
        <v>112</v>
      </c>
      <c r="J30">
        <f t="shared" si="0"/>
        <v>1100.5</v>
      </c>
      <c r="L30">
        <f t="shared" si="1"/>
        <v>0.49129464285714286</v>
      </c>
    </row>
    <row r="31" spans="1:12" x14ac:dyDescent="0.25">
      <c r="A31">
        <v>1737</v>
      </c>
      <c r="B31" t="s">
        <v>23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1737</v>
      </c>
      <c r="B32" t="s">
        <v>27</v>
      </c>
      <c r="C32" t="s">
        <v>56</v>
      </c>
      <c r="D32" t="s">
        <v>33</v>
      </c>
      <c r="H32">
        <v>533187</v>
      </c>
      <c r="I32" t="s">
        <v>115</v>
      </c>
      <c r="J32">
        <f t="shared" si="0"/>
        <v>533187</v>
      </c>
      <c r="L32">
        <f t="shared" si="1"/>
        <v>238.02991071428571</v>
      </c>
    </row>
    <row r="33" spans="1:12" x14ac:dyDescent="0.25">
      <c r="A33">
        <v>1737</v>
      </c>
      <c r="B33" t="s">
        <v>15</v>
      </c>
      <c r="C33" t="s">
        <v>56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1737</v>
      </c>
      <c r="B34" t="s">
        <v>42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1737</v>
      </c>
      <c r="B35" t="s">
        <v>47</v>
      </c>
      <c r="C35" t="s">
        <v>56</v>
      </c>
      <c r="D35" t="s">
        <v>33</v>
      </c>
      <c r="H35">
        <v>1245.5</v>
      </c>
      <c r="I35" t="s">
        <v>113</v>
      </c>
      <c r="J35">
        <f t="shared" si="0"/>
        <v>1245.5</v>
      </c>
      <c r="L35">
        <f t="shared" si="1"/>
        <v>0.55602678571428577</v>
      </c>
    </row>
    <row r="36" spans="1:12" x14ac:dyDescent="0.25">
      <c r="A36">
        <v>1737</v>
      </c>
      <c r="B36" t="s">
        <v>16</v>
      </c>
      <c r="C36" t="s">
        <v>56</v>
      </c>
      <c r="D36" t="s">
        <v>33</v>
      </c>
      <c r="H36">
        <v>48</v>
      </c>
      <c r="J36">
        <f t="shared" si="0"/>
        <v>48</v>
      </c>
      <c r="L36">
        <f t="shared" si="1"/>
        <v>2.1428571428571429E-2</v>
      </c>
    </row>
    <row r="37" spans="1:12" x14ac:dyDescent="0.25">
      <c r="A37">
        <v>1737</v>
      </c>
      <c r="B37" t="s">
        <v>106</v>
      </c>
      <c r="C37" t="s">
        <v>56</v>
      </c>
      <c r="D37" t="s">
        <v>33</v>
      </c>
      <c r="G37">
        <v>2</v>
      </c>
      <c r="J37">
        <f t="shared" si="0"/>
        <v>56</v>
      </c>
      <c r="L37">
        <f t="shared" si="1"/>
        <v>2.5000000000000001E-2</v>
      </c>
    </row>
    <row r="38" spans="1:12" x14ac:dyDescent="0.25">
      <c r="A38">
        <v>1737</v>
      </c>
      <c r="B38" t="s">
        <v>17</v>
      </c>
      <c r="C38" t="s">
        <v>56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1737</v>
      </c>
      <c r="B39" t="s">
        <v>18</v>
      </c>
      <c r="C39" t="s">
        <v>56</v>
      </c>
      <c r="D39" t="s">
        <v>33</v>
      </c>
      <c r="H39">
        <v>27714.5</v>
      </c>
      <c r="I39" t="s">
        <v>114</v>
      </c>
      <c r="J39">
        <f t="shared" si="0"/>
        <v>27714.5</v>
      </c>
      <c r="L39">
        <f t="shared" si="1"/>
        <v>12.372544642857143</v>
      </c>
    </row>
    <row r="40" spans="1:12" x14ac:dyDescent="0.25">
      <c r="A40">
        <v>1737</v>
      </c>
      <c r="B40" t="s">
        <v>26</v>
      </c>
      <c r="C40" t="s">
        <v>56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1737</v>
      </c>
      <c r="B41" t="s">
        <v>19</v>
      </c>
      <c r="C41" t="s">
        <v>56</v>
      </c>
      <c r="D41" t="s">
        <v>33</v>
      </c>
      <c r="F41">
        <v>4</v>
      </c>
      <c r="J41">
        <f t="shared" si="0"/>
        <v>448</v>
      </c>
      <c r="L41">
        <f t="shared" si="1"/>
        <v>0.2</v>
      </c>
    </row>
    <row r="42" spans="1:12" x14ac:dyDescent="0.25">
      <c r="A42">
        <v>1737</v>
      </c>
      <c r="B42" t="s">
        <v>45</v>
      </c>
      <c r="C42" t="s">
        <v>56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1737</v>
      </c>
      <c r="B43" t="s">
        <v>54</v>
      </c>
      <c r="C43" t="s">
        <v>56</v>
      </c>
      <c r="D43" t="s">
        <v>33</v>
      </c>
      <c r="H43">
        <v>1791</v>
      </c>
      <c r="J43">
        <f t="shared" si="0"/>
        <v>1791</v>
      </c>
      <c r="L43">
        <f t="shared" si="1"/>
        <v>0.79955357142857142</v>
      </c>
    </row>
    <row r="44" spans="1:12" x14ac:dyDescent="0.25">
      <c r="A44">
        <v>1737</v>
      </c>
      <c r="B44" t="s">
        <v>95</v>
      </c>
      <c r="C44" t="s">
        <v>56</v>
      </c>
      <c r="D44" t="s">
        <v>33</v>
      </c>
      <c r="H44">
        <v>1035</v>
      </c>
      <c r="J44">
        <f t="shared" si="0"/>
        <v>1035</v>
      </c>
      <c r="L44">
        <f t="shared" si="1"/>
        <v>0.46205357142857145</v>
      </c>
    </row>
    <row r="45" spans="1:12" x14ac:dyDescent="0.25">
      <c r="A45">
        <v>1737</v>
      </c>
      <c r="B45" t="s">
        <v>20</v>
      </c>
      <c r="C45" t="s">
        <v>56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1737</v>
      </c>
      <c r="B46" t="s">
        <v>21</v>
      </c>
      <c r="C46" t="s">
        <v>56</v>
      </c>
      <c r="D46" t="s">
        <v>33</v>
      </c>
      <c r="H46">
        <v>87</v>
      </c>
      <c r="J46">
        <f t="shared" si="0"/>
        <v>87</v>
      </c>
      <c r="L46">
        <f t="shared" si="1"/>
        <v>3.8839285714285715E-2</v>
      </c>
    </row>
    <row r="47" spans="1:12" x14ac:dyDescent="0.25">
      <c r="A47">
        <v>1737</v>
      </c>
      <c r="B47" t="s">
        <v>90</v>
      </c>
      <c r="C47" t="s">
        <v>56</v>
      </c>
      <c r="D47" t="s">
        <v>33</v>
      </c>
      <c r="F47">
        <v>101</v>
      </c>
      <c r="G47">
        <v>2</v>
      </c>
      <c r="H47">
        <v>10</v>
      </c>
      <c r="J47">
        <f t="shared" si="0"/>
        <v>11378</v>
      </c>
      <c r="L47">
        <f t="shared" si="1"/>
        <v>5.0794642857142858</v>
      </c>
    </row>
    <row r="48" spans="1:12" x14ac:dyDescent="0.25">
      <c r="A48">
        <v>1737</v>
      </c>
      <c r="B48" t="s">
        <v>22</v>
      </c>
      <c r="C48" t="s">
        <v>56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1737</v>
      </c>
      <c r="B49" t="s">
        <v>61</v>
      </c>
      <c r="C49" t="s">
        <v>56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1737</v>
      </c>
      <c r="B50" t="s">
        <v>62</v>
      </c>
      <c r="C50" t="s">
        <v>56</v>
      </c>
      <c r="D50" t="s">
        <v>33</v>
      </c>
      <c r="E50">
        <v>65</v>
      </c>
      <c r="F50">
        <v>14</v>
      </c>
      <c r="J50">
        <f t="shared" si="0"/>
        <v>147168</v>
      </c>
      <c r="L50">
        <f t="shared" si="1"/>
        <v>65.7</v>
      </c>
    </row>
    <row r="51" spans="1:12" x14ac:dyDescent="0.25">
      <c r="A51">
        <v>1737</v>
      </c>
      <c r="B51" t="s">
        <v>63</v>
      </c>
      <c r="C51" t="s">
        <v>56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1737</v>
      </c>
      <c r="B52" t="s">
        <v>70</v>
      </c>
      <c r="C52" t="s">
        <v>56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1737</v>
      </c>
      <c r="B53" t="s">
        <v>64</v>
      </c>
      <c r="C53" t="s">
        <v>56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1737</v>
      </c>
      <c r="B54" t="s">
        <v>65</v>
      </c>
      <c r="C54" t="s">
        <v>56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1737</v>
      </c>
      <c r="B55" t="s">
        <v>55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1737</v>
      </c>
      <c r="B56" t="s">
        <v>57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1737</v>
      </c>
      <c r="B57" t="s">
        <v>36</v>
      </c>
      <c r="C57" t="s">
        <v>56</v>
      </c>
      <c r="D57" t="s">
        <v>35</v>
      </c>
      <c r="H57">
        <v>167</v>
      </c>
      <c r="J57">
        <f t="shared" si="0"/>
        <v>167</v>
      </c>
      <c r="L57">
        <f t="shared" si="1"/>
        <v>7.4553571428571427E-2</v>
      </c>
    </row>
    <row r="58" spans="1:12" x14ac:dyDescent="0.25">
      <c r="A58">
        <v>1737</v>
      </c>
      <c r="B58" t="s">
        <v>4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1737</v>
      </c>
      <c r="B59" t="s">
        <v>58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1737</v>
      </c>
      <c r="B60" t="s">
        <v>92</v>
      </c>
      <c r="C60" t="s">
        <v>56</v>
      </c>
      <c r="D60" t="s">
        <v>35</v>
      </c>
      <c r="H60">
        <v>53</v>
      </c>
      <c r="J60">
        <f t="shared" si="0"/>
        <v>53</v>
      </c>
      <c r="L60">
        <f t="shared" si="1"/>
        <v>2.3660714285714285E-2</v>
      </c>
    </row>
    <row r="61" spans="1:12" x14ac:dyDescent="0.25">
      <c r="A61">
        <v>1737</v>
      </c>
      <c r="B61" t="s">
        <v>43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1737</v>
      </c>
      <c r="B62" t="s">
        <v>5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1737</v>
      </c>
      <c r="B63" t="s">
        <v>59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1737</v>
      </c>
      <c r="B64" t="s">
        <v>6</v>
      </c>
      <c r="C64" t="s">
        <v>56</v>
      </c>
      <c r="D64" t="s">
        <v>35</v>
      </c>
      <c r="F64">
        <v>26851</v>
      </c>
      <c r="H64">
        <v>12</v>
      </c>
      <c r="J64">
        <f t="shared" si="0"/>
        <v>3007324</v>
      </c>
      <c r="L64">
        <f t="shared" si="1"/>
        <v>1342.5553571428572</v>
      </c>
    </row>
    <row r="65" spans="1:12" x14ac:dyDescent="0.25">
      <c r="A65">
        <v>1737</v>
      </c>
      <c r="B65" t="s">
        <v>60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1737</v>
      </c>
      <c r="B66" t="s">
        <v>38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1737</v>
      </c>
      <c r="B67" t="s">
        <v>37</v>
      </c>
      <c r="C67" t="s">
        <v>56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1737</v>
      </c>
      <c r="B68" t="s">
        <v>8</v>
      </c>
      <c r="C68" t="s">
        <v>56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1737</v>
      </c>
      <c r="B69" t="s">
        <v>40</v>
      </c>
      <c r="C69" t="s">
        <v>56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1737</v>
      </c>
      <c r="B70" t="s">
        <v>77</v>
      </c>
      <c r="C70" t="s">
        <v>56</v>
      </c>
      <c r="D70" t="s">
        <v>35</v>
      </c>
      <c r="G70">
        <v>2</v>
      </c>
      <c r="H70">
        <v>11</v>
      </c>
      <c r="J70">
        <f t="shared" si="0"/>
        <v>67</v>
      </c>
      <c r="L70">
        <f t="shared" si="1"/>
        <v>2.9910714285714287E-2</v>
      </c>
    </row>
    <row r="71" spans="1:12" x14ac:dyDescent="0.25">
      <c r="A71">
        <v>1737</v>
      </c>
      <c r="B71" t="s">
        <v>9</v>
      </c>
      <c r="C71" t="s">
        <v>56</v>
      </c>
      <c r="D71" t="s">
        <v>35</v>
      </c>
      <c r="H71">
        <f>886*200+12</f>
        <v>177212</v>
      </c>
      <c r="I71" t="s">
        <v>145</v>
      </c>
      <c r="J71">
        <f t="shared" si="0"/>
        <v>177212</v>
      </c>
      <c r="L71">
        <f t="shared" si="1"/>
        <v>79.112499999999997</v>
      </c>
    </row>
    <row r="72" spans="1:12" x14ac:dyDescent="0.25">
      <c r="A72">
        <v>1737</v>
      </c>
      <c r="B72" t="s">
        <v>10</v>
      </c>
      <c r="C72" t="s">
        <v>56</v>
      </c>
      <c r="D72" t="s">
        <v>35</v>
      </c>
      <c r="F72">
        <v>520</v>
      </c>
      <c r="G72">
        <v>2</v>
      </c>
      <c r="H72">
        <v>21</v>
      </c>
      <c r="J72">
        <f t="shared" si="0"/>
        <v>58317</v>
      </c>
      <c r="L72">
        <f t="shared" si="1"/>
        <v>26.034375000000001</v>
      </c>
    </row>
    <row r="73" spans="1:12" x14ac:dyDescent="0.25">
      <c r="A73">
        <v>1737</v>
      </c>
      <c r="B73" t="s">
        <v>11</v>
      </c>
      <c r="C73" t="s">
        <v>56</v>
      </c>
      <c r="D73" t="s">
        <v>35</v>
      </c>
      <c r="F73">
        <v>95</v>
      </c>
      <c r="G73">
        <v>3</v>
      </c>
      <c r="H73">
        <v>4</v>
      </c>
      <c r="J73">
        <f t="shared" ref="J73:J106" si="2">(E73*2240)+(F73*112)+(G73*28)+H73</f>
        <v>10728</v>
      </c>
      <c r="L73">
        <f t="shared" ref="L73:L106" si="3">J73/2240</f>
        <v>4.7892857142857146</v>
      </c>
    </row>
    <row r="74" spans="1:12" x14ac:dyDescent="0.25">
      <c r="A74">
        <v>1737</v>
      </c>
      <c r="B74" t="s">
        <v>39</v>
      </c>
      <c r="C74" t="s">
        <v>56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1737</v>
      </c>
      <c r="B75" t="s">
        <v>79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1737</v>
      </c>
      <c r="B76" t="s">
        <v>44</v>
      </c>
      <c r="C76" t="s">
        <v>56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1737</v>
      </c>
      <c r="B77" t="s">
        <v>12</v>
      </c>
      <c r="C77" t="s">
        <v>56</v>
      </c>
      <c r="D77" t="s">
        <v>35</v>
      </c>
      <c r="H77">
        <v>408</v>
      </c>
      <c r="J77">
        <f t="shared" si="2"/>
        <v>408</v>
      </c>
      <c r="L77">
        <f t="shared" si="3"/>
        <v>0.18214285714285713</v>
      </c>
    </row>
    <row r="78" spans="1:12" x14ac:dyDescent="0.25">
      <c r="A78">
        <v>1737</v>
      </c>
      <c r="B78" t="s">
        <v>34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1737</v>
      </c>
      <c r="B79" t="s">
        <v>13</v>
      </c>
      <c r="C79" t="s">
        <v>56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1737</v>
      </c>
      <c r="B80" t="s">
        <v>14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1737</v>
      </c>
      <c r="B81" t="s">
        <v>23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1737</v>
      </c>
      <c r="B82" t="s">
        <v>27</v>
      </c>
      <c r="C82" t="s">
        <v>56</v>
      </c>
      <c r="D82" t="s">
        <v>35</v>
      </c>
      <c r="H82">
        <v>49562.5</v>
      </c>
      <c r="I82" t="s">
        <v>143</v>
      </c>
      <c r="J82">
        <f t="shared" si="2"/>
        <v>49562.5</v>
      </c>
      <c r="L82">
        <f t="shared" si="3"/>
        <v>22.126116071428573</v>
      </c>
    </row>
    <row r="83" spans="1:12" x14ac:dyDescent="0.25">
      <c r="A83">
        <v>1737</v>
      </c>
      <c r="B83" t="s">
        <v>15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1737</v>
      </c>
      <c r="B84" t="s">
        <v>93</v>
      </c>
      <c r="C84" t="s">
        <v>56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1737</v>
      </c>
      <c r="B85" t="s">
        <v>42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1737</v>
      </c>
      <c r="B86" t="s">
        <v>47</v>
      </c>
      <c r="C86" t="s">
        <v>56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1737</v>
      </c>
      <c r="B87" t="s">
        <v>16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1737</v>
      </c>
      <c r="B88" t="s">
        <v>106</v>
      </c>
      <c r="C88" t="s">
        <v>56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1737</v>
      </c>
      <c r="B89" t="s">
        <v>17</v>
      </c>
      <c r="C89" t="s">
        <v>56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1737</v>
      </c>
      <c r="B90" t="s">
        <v>18</v>
      </c>
      <c r="C90" t="s">
        <v>56</v>
      </c>
      <c r="D90" t="s">
        <v>35</v>
      </c>
      <c r="H90">
        <v>44306.5</v>
      </c>
      <c r="I90" t="s">
        <v>142</v>
      </c>
      <c r="J90">
        <f t="shared" si="2"/>
        <v>44306.5</v>
      </c>
      <c r="L90">
        <f t="shared" si="3"/>
        <v>19.779687500000001</v>
      </c>
    </row>
    <row r="91" spans="1:12" x14ac:dyDescent="0.25">
      <c r="A91">
        <v>1737</v>
      </c>
      <c r="B91" t="s">
        <v>26</v>
      </c>
      <c r="C91" t="s">
        <v>56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1737</v>
      </c>
      <c r="B92" t="s">
        <v>19</v>
      </c>
      <c r="C92" t="s">
        <v>56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1737</v>
      </c>
      <c r="B93" t="s">
        <v>45</v>
      </c>
      <c r="C93" t="s">
        <v>56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1737</v>
      </c>
      <c r="B94" t="s">
        <v>54</v>
      </c>
      <c r="C94" t="s">
        <v>56</v>
      </c>
      <c r="D94" t="s">
        <v>35</v>
      </c>
      <c r="H94">
        <v>10</v>
      </c>
      <c r="J94">
        <f t="shared" si="2"/>
        <v>10</v>
      </c>
      <c r="L94">
        <f t="shared" si="3"/>
        <v>4.464285714285714E-3</v>
      </c>
    </row>
    <row r="95" spans="1:12" x14ac:dyDescent="0.25">
      <c r="A95">
        <v>1737</v>
      </c>
      <c r="B95" t="s">
        <v>95</v>
      </c>
      <c r="C95" t="s">
        <v>56</v>
      </c>
      <c r="D95" t="s">
        <v>35</v>
      </c>
      <c r="H95">
        <v>35</v>
      </c>
      <c r="J95">
        <f t="shared" si="2"/>
        <v>35</v>
      </c>
      <c r="L95">
        <f t="shared" si="3"/>
        <v>1.5625E-2</v>
      </c>
    </row>
    <row r="96" spans="1:12" x14ac:dyDescent="0.25">
      <c r="A96">
        <v>1737</v>
      </c>
      <c r="B96" t="s">
        <v>20</v>
      </c>
      <c r="C96" t="s">
        <v>56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1737</v>
      </c>
      <c r="B97" t="s">
        <v>21</v>
      </c>
      <c r="C97" t="s">
        <v>56</v>
      </c>
      <c r="D97" t="s">
        <v>35</v>
      </c>
      <c r="H97">
        <v>20</v>
      </c>
      <c r="J97">
        <f t="shared" si="2"/>
        <v>20</v>
      </c>
      <c r="L97">
        <f t="shared" si="3"/>
        <v>8.9285714285714281E-3</v>
      </c>
    </row>
    <row r="98" spans="1:12" x14ac:dyDescent="0.25">
      <c r="A98">
        <v>1737</v>
      </c>
      <c r="B98" t="s">
        <v>22</v>
      </c>
      <c r="C98" t="s">
        <v>56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1737</v>
      </c>
      <c r="B99" t="s">
        <v>61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1737</v>
      </c>
      <c r="B100" t="s">
        <v>144</v>
      </c>
      <c r="C100" t="s">
        <v>56</v>
      </c>
      <c r="D100" t="s">
        <v>35</v>
      </c>
      <c r="E100">
        <v>20</v>
      </c>
      <c r="F100">
        <v>19</v>
      </c>
      <c r="H100">
        <v>18</v>
      </c>
      <c r="J100">
        <f t="shared" si="2"/>
        <v>46946</v>
      </c>
      <c r="L100">
        <f t="shared" si="3"/>
        <v>20.958035714285714</v>
      </c>
    </row>
    <row r="101" spans="1:12" x14ac:dyDescent="0.25">
      <c r="A101">
        <v>1737</v>
      </c>
      <c r="B101" t="s">
        <v>62</v>
      </c>
      <c r="C101" t="s">
        <v>56</v>
      </c>
      <c r="D101" t="s">
        <v>35</v>
      </c>
      <c r="E101">
        <v>35</v>
      </c>
      <c r="F101">
        <v>12</v>
      </c>
      <c r="G101">
        <v>1</v>
      </c>
      <c r="H101">
        <v>14</v>
      </c>
      <c r="J101">
        <f t="shared" si="2"/>
        <v>79786</v>
      </c>
      <c r="L101">
        <f t="shared" si="3"/>
        <v>35.618749999999999</v>
      </c>
    </row>
    <row r="102" spans="1:12" x14ac:dyDescent="0.25">
      <c r="A102">
        <v>1737</v>
      </c>
      <c r="B102" t="s">
        <v>63</v>
      </c>
      <c r="C102" t="s">
        <v>56</v>
      </c>
      <c r="D102" t="s">
        <v>35</v>
      </c>
      <c r="E102">
        <v>10</v>
      </c>
      <c r="J102">
        <f t="shared" si="2"/>
        <v>22400</v>
      </c>
      <c r="L102">
        <f t="shared" si="3"/>
        <v>10</v>
      </c>
    </row>
    <row r="103" spans="1:12" x14ac:dyDescent="0.25">
      <c r="A103">
        <v>1737</v>
      </c>
      <c r="B103" t="s">
        <v>89</v>
      </c>
      <c r="C103" t="s">
        <v>56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1737</v>
      </c>
      <c r="B104" t="s">
        <v>70</v>
      </c>
      <c r="C104" t="s">
        <v>56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1737</v>
      </c>
      <c r="B105" t="s">
        <v>64</v>
      </c>
      <c r="C105" t="s">
        <v>56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1737</v>
      </c>
      <c r="B106" t="s">
        <v>65</v>
      </c>
      <c r="C106" t="s">
        <v>56</v>
      </c>
      <c r="D106" t="s">
        <v>35</v>
      </c>
      <c r="J106">
        <f t="shared" si="2"/>
        <v>0</v>
      </c>
      <c r="L106">
        <f t="shared" si="3"/>
        <v>0</v>
      </c>
    </row>
  </sheetData>
  <autoFilter ref="A1:N58" xr:uid="{AAD1F908-12B8-4B3A-A65D-184CD229ACD4}">
    <sortState xmlns:xlrd2="http://schemas.microsoft.com/office/spreadsheetml/2017/richdata2" ref="A2:N58">
      <sortCondition ref="B1:B5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9"/>
  <sheetViews>
    <sheetView workbookViewId="0">
      <selection activeCell="H10" sqref="H10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1737</v>
      </c>
      <c r="B2" t="s">
        <v>66</v>
      </c>
      <c r="C2" t="s">
        <v>67</v>
      </c>
      <c r="D2" t="s">
        <v>33</v>
      </c>
      <c r="J2">
        <f t="shared" ref="J2:J29" si="0">(E2*2240)+(F2*112)+(G2*28)+H2</f>
        <v>0</v>
      </c>
      <c r="L2">
        <f t="shared" ref="L2:L29" si="1">J2/2240</f>
        <v>0</v>
      </c>
    </row>
    <row r="3" spans="1:12" x14ac:dyDescent="0.25">
      <c r="A3">
        <v>1737</v>
      </c>
      <c r="B3" t="s">
        <v>6</v>
      </c>
      <c r="C3" t="s">
        <v>67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1737</v>
      </c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1737</v>
      </c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1737</v>
      </c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1737</v>
      </c>
      <c r="B7" t="s">
        <v>12</v>
      </c>
      <c r="C7" t="s">
        <v>67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1737</v>
      </c>
      <c r="B8" t="s">
        <v>13</v>
      </c>
      <c r="C8" t="s">
        <v>67</v>
      </c>
      <c r="D8" t="s">
        <v>33</v>
      </c>
      <c r="E8">
        <v>9</v>
      </c>
      <c r="J8">
        <f t="shared" si="0"/>
        <v>20160</v>
      </c>
      <c r="L8">
        <f t="shared" si="1"/>
        <v>9</v>
      </c>
    </row>
    <row r="9" spans="1:12" x14ac:dyDescent="0.25">
      <c r="A9">
        <v>1737</v>
      </c>
      <c r="B9" t="s">
        <v>27</v>
      </c>
      <c r="C9" t="s">
        <v>67</v>
      </c>
      <c r="D9" t="s">
        <v>33</v>
      </c>
      <c r="H9">
        <v>4971.5</v>
      </c>
      <c r="I9" t="s">
        <v>118</v>
      </c>
      <c r="J9">
        <f t="shared" si="0"/>
        <v>4971.5</v>
      </c>
      <c r="K9" s="1"/>
      <c r="L9">
        <f t="shared" si="1"/>
        <v>2.2194196428571429</v>
      </c>
    </row>
    <row r="10" spans="1:12" x14ac:dyDescent="0.25">
      <c r="A10">
        <v>1737</v>
      </c>
      <c r="B10" t="s">
        <v>15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1737</v>
      </c>
      <c r="B11" t="s">
        <v>17</v>
      </c>
      <c r="C11" t="s">
        <v>67</v>
      </c>
      <c r="D11" t="s">
        <v>33</v>
      </c>
      <c r="J11">
        <f t="shared" si="0"/>
        <v>0</v>
      </c>
      <c r="K11" s="1"/>
      <c r="L11">
        <f t="shared" si="1"/>
        <v>0</v>
      </c>
    </row>
    <row r="12" spans="1:12" x14ac:dyDescent="0.25">
      <c r="A12">
        <v>1737</v>
      </c>
      <c r="B12" t="s">
        <v>18</v>
      </c>
      <c r="C12" t="s">
        <v>67</v>
      </c>
      <c r="D12" t="s">
        <v>33</v>
      </c>
      <c r="H12">
        <v>350</v>
      </c>
      <c r="I12" t="s">
        <v>117</v>
      </c>
      <c r="J12">
        <f t="shared" si="0"/>
        <v>350</v>
      </c>
      <c r="L12">
        <f t="shared" si="1"/>
        <v>0.15625</v>
      </c>
    </row>
    <row r="13" spans="1:12" x14ac:dyDescent="0.25">
      <c r="A13">
        <v>1737</v>
      </c>
      <c r="B13" t="s">
        <v>19</v>
      </c>
      <c r="C13" t="s">
        <v>67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1737</v>
      </c>
      <c r="B14" t="s">
        <v>21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1737</v>
      </c>
      <c r="B15" t="s">
        <v>90</v>
      </c>
      <c r="C15" t="s">
        <v>67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1737</v>
      </c>
      <c r="B16" t="s">
        <v>61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1737</v>
      </c>
      <c r="B17" t="s">
        <v>62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1737</v>
      </c>
      <c r="B18" t="s">
        <v>63</v>
      </c>
      <c r="C18" t="s">
        <v>67</v>
      </c>
      <c r="D18" t="s">
        <v>33</v>
      </c>
      <c r="E18">
        <v>151</v>
      </c>
      <c r="F18">
        <v>13</v>
      </c>
      <c r="J18">
        <f t="shared" si="0"/>
        <v>339696</v>
      </c>
      <c r="L18">
        <f t="shared" si="1"/>
        <v>151.65</v>
      </c>
    </row>
    <row r="19" spans="1:12" x14ac:dyDescent="0.25">
      <c r="A19">
        <v>1737</v>
      </c>
      <c r="B19" t="s">
        <v>6</v>
      </c>
      <c r="C19" t="s">
        <v>67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1737</v>
      </c>
      <c r="B20" t="s">
        <v>12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1737</v>
      </c>
      <c r="B21" t="s">
        <v>41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1737</v>
      </c>
      <c r="B22" t="s">
        <v>27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1737</v>
      </c>
      <c r="B23" t="s">
        <v>17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1737</v>
      </c>
      <c r="B24" t="s">
        <v>19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1737</v>
      </c>
      <c r="B25" t="s">
        <v>54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1737</v>
      </c>
      <c r="B26" t="s">
        <v>9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1737</v>
      </c>
      <c r="B27" t="s">
        <v>8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1737</v>
      </c>
      <c r="B28" t="s">
        <v>61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  <row r="29" spans="1:12" x14ac:dyDescent="0.25">
      <c r="A29">
        <v>1737</v>
      </c>
      <c r="B29" t="s">
        <v>63</v>
      </c>
      <c r="C29" t="s">
        <v>67</v>
      </c>
      <c r="D29" t="s">
        <v>35</v>
      </c>
      <c r="J29">
        <f t="shared" si="0"/>
        <v>0</v>
      </c>
      <c r="L29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0"/>
  <sheetViews>
    <sheetView topLeftCell="A106" zoomScaleNormal="100" workbookViewId="0">
      <selection activeCell="H109" sqref="H10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1737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1737</v>
      </c>
      <c r="B3" t="s">
        <v>57</v>
      </c>
      <c r="C3" t="s">
        <v>68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2" x14ac:dyDescent="0.25">
      <c r="A4">
        <v>1737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1737</v>
      </c>
      <c r="B5" t="s">
        <v>4</v>
      </c>
      <c r="C5" t="s">
        <v>68</v>
      </c>
      <c r="D5" t="s">
        <v>33</v>
      </c>
      <c r="F5">
        <v>10</v>
      </c>
      <c r="H5">
        <v>13</v>
      </c>
      <c r="J5">
        <f t="shared" si="0"/>
        <v>1133</v>
      </c>
      <c r="L5">
        <f t="shared" si="1"/>
        <v>0.50580357142857146</v>
      </c>
    </row>
    <row r="6" spans="1:12" x14ac:dyDescent="0.25">
      <c r="A6">
        <v>1737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1737</v>
      </c>
      <c r="B7" t="s">
        <v>69</v>
      </c>
      <c r="C7" t="s">
        <v>68</v>
      </c>
      <c r="D7" t="s">
        <v>33</v>
      </c>
      <c r="H7">
        <v>72</v>
      </c>
      <c r="J7">
        <f t="shared" si="0"/>
        <v>72</v>
      </c>
      <c r="L7">
        <f t="shared" si="1"/>
        <v>3.214285714285714E-2</v>
      </c>
    </row>
    <row r="8" spans="1:12" x14ac:dyDescent="0.25">
      <c r="A8">
        <v>1737</v>
      </c>
      <c r="B8" t="s">
        <v>101</v>
      </c>
      <c r="C8" t="s">
        <v>68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1737</v>
      </c>
      <c r="B9" t="s">
        <v>43</v>
      </c>
      <c r="C9" t="s">
        <v>68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1737</v>
      </c>
      <c r="B10" t="s">
        <v>76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1737</v>
      </c>
      <c r="B11" t="s">
        <v>5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1737</v>
      </c>
      <c r="B12" t="s">
        <v>59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1737</v>
      </c>
      <c r="B13" t="s">
        <v>6</v>
      </c>
      <c r="C13" t="s">
        <v>68</v>
      </c>
      <c r="D13" t="s">
        <v>33</v>
      </c>
      <c r="F13">
        <v>173357</v>
      </c>
      <c r="G13">
        <v>1</v>
      </c>
      <c r="H13">
        <v>26</v>
      </c>
      <c r="J13">
        <f t="shared" si="0"/>
        <v>19416038</v>
      </c>
      <c r="L13">
        <f t="shared" si="1"/>
        <v>8667.8741071428576</v>
      </c>
    </row>
    <row r="14" spans="1:12" x14ac:dyDescent="0.25">
      <c r="A14">
        <v>1737</v>
      </c>
      <c r="B14" t="s">
        <v>96</v>
      </c>
      <c r="C14" t="s">
        <v>68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1737</v>
      </c>
      <c r="B15" t="s">
        <v>60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1737</v>
      </c>
      <c r="B16" t="s">
        <v>7</v>
      </c>
      <c r="C16" t="s">
        <v>68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1737</v>
      </c>
      <c r="B17" t="s">
        <v>37</v>
      </c>
      <c r="C17" t="s">
        <v>68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1737</v>
      </c>
      <c r="B18" t="s">
        <v>8</v>
      </c>
      <c r="C18" t="s">
        <v>68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1737</v>
      </c>
      <c r="B19" t="s">
        <v>40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1737</v>
      </c>
      <c r="B20" t="s">
        <v>77</v>
      </c>
      <c r="C20" t="s">
        <v>68</v>
      </c>
      <c r="D20" t="s">
        <v>33</v>
      </c>
      <c r="F20">
        <v>2321</v>
      </c>
      <c r="H20">
        <v>1</v>
      </c>
      <c r="J20">
        <f t="shared" si="0"/>
        <v>259953</v>
      </c>
      <c r="L20">
        <f t="shared" si="1"/>
        <v>116.05044642857143</v>
      </c>
    </row>
    <row r="21" spans="1:12" x14ac:dyDescent="0.25">
      <c r="A21">
        <v>1737</v>
      </c>
      <c r="B21" t="s">
        <v>78</v>
      </c>
      <c r="C21" t="s">
        <v>68</v>
      </c>
      <c r="D21" t="s">
        <v>33</v>
      </c>
      <c r="H21">
        <v>49714</v>
      </c>
      <c r="J21">
        <f t="shared" si="0"/>
        <v>49714</v>
      </c>
      <c r="L21">
        <f t="shared" si="1"/>
        <v>22.193750000000001</v>
      </c>
    </row>
    <row r="22" spans="1:12" x14ac:dyDescent="0.25">
      <c r="A22">
        <v>1737</v>
      </c>
      <c r="B22" t="s">
        <v>46</v>
      </c>
      <c r="C22" t="s">
        <v>68</v>
      </c>
      <c r="D22" t="s">
        <v>33</v>
      </c>
      <c r="H22">
        <v>200</v>
      </c>
      <c r="J22">
        <f t="shared" si="0"/>
        <v>200</v>
      </c>
      <c r="L22">
        <f t="shared" si="1"/>
        <v>8.9285714285714288E-2</v>
      </c>
    </row>
    <row r="23" spans="1:12" x14ac:dyDescent="0.25">
      <c r="A23">
        <v>1737</v>
      </c>
      <c r="B23" t="s">
        <v>9</v>
      </c>
      <c r="C23" t="s">
        <v>68</v>
      </c>
      <c r="D23" t="s">
        <v>33</v>
      </c>
      <c r="H23">
        <f>554*200+152</f>
        <v>110952</v>
      </c>
      <c r="I23" t="s">
        <v>123</v>
      </c>
      <c r="J23">
        <f t="shared" si="0"/>
        <v>110952</v>
      </c>
      <c r="L23">
        <f t="shared" si="1"/>
        <v>49.532142857142858</v>
      </c>
    </row>
    <row r="24" spans="1:12" x14ac:dyDescent="0.25">
      <c r="A24">
        <v>1737</v>
      </c>
      <c r="B24" t="s">
        <v>10</v>
      </c>
      <c r="C24" t="s">
        <v>68</v>
      </c>
      <c r="D24" t="s">
        <v>33</v>
      </c>
      <c r="F24">
        <v>9494</v>
      </c>
      <c r="G24">
        <v>2</v>
      </c>
      <c r="H24">
        <v>13</v>
      </c>
      <c r="J24">
        <f t="shared" si="0"/>
        <v>1063397</v>
      </c>
      <c r="L24">
        <f t="shared" si="1"/>
        <v>474.73080357142857</v>
      </c>
    </row>
    <row r="25" spans="1:12" x14ac:dyDescent="0.25">
      <c r="A25">
        <v>1737</v>
      </c>
      <c r="B25" t="s">
        <v>11</v>
      </c>
      <c r="C25" t="s">
        <v>68</v>
      </c>
      <c r="D25" t="s">
        <v>33</v>
      </c>
      <c r="F25">
        <v>87</v>
      </c>
      <c r="G25">
        <v>1</v>
      </c>
      <c r="H25">
        <v>27</v>
      </c>
      <c r="J25">
        <f t="shared" si="0"/>
        <v>9799</v>
      </c>
      <c r="L25">
        <f t="shared" si="1"/>
        <v>4.3745535714285717</v>
      </c>
    </row>
    <row r="26" spans="1:12" x14ac:dyDescent="0.25">
      <c r="A26">
        <v>1737</v>
      </c>
      <c r="B26" t="s">
        <v>39</v>
      </c>
      <c r="C26" t="s">
        <v>68</v>
      </c>
      <c r="D26" t="s">
        <v>33</v>
      </c>
      <c r="H26">
        <v>200</v>
      </c>
      <c r="J26">
        <f t="shared" si="0"/>
        <v>200</v>
      </c>
      <c r="L26">
        <f t="shared" si="1"/>
        <v>8.9285714285714288E-2</v>
      </c>
    </row>
    <row r="27" spans="1:12" x14ac:dyDescent="0.25">
      <c r="A27">
        <v>1737</v>
      </c>
      <c r="B27" t="s">
        <v>79</v>
      </c>
      <c r="C27" t="s">
        <v>68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1737</v>
      </c>
      <c r="B28" t="s">
        <v>103</v>
      </c>
      <c r="C28" t="s">
        <v>68</v>
      </c>
      <c r="D28" t="s">
        <v>33</v>
      </c>
      <c r="H28">
        <v>3513</v>
      </c>
      <c r="J28">
        <f t="shared" si="0"/>
        <v>3513</v>
      </c>
      <c r="L28">
        <f t="shared" si="1"/>
        <v>1.5683035714285714</v>
      </c>
    </row>
    <row r="29" spans="1:12" x14ac:dyDescent="0.25">
      <c r="A29">
        <v>1737</v>
      </c>
      <c r="B29" t="s">
        <v>44</v>
      </c>
      <c r="C29" t="s">
        <v>68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1737</v>
      </c>
      <c r="B30" t="s">
        <v>97</v>
      </c>
      <c r="C30" t="s">
        <v>68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1737</v>
      </c>
      <c r="B31" t="s">
        <v>12</v>
      </c>
      <c r="C31" t="s">
        <v>68</v>
      </c>
      <c r="D31" t="s">
        <v>33</v>
      </c>
      <c r="H31">
        <f>131+42261</f>
        <v>42392</v>
      </c>
      <c r="J31">
        <f t="shared" si="0"/>
        <v>42392</v>
      </c>
      <c r="L31">
        <f t="shared" si="1"/>
        <v>18.925000000000001</v>
      </c>
    </row>
    <row r="32" spans="1:12" x14ac:dyDescent="0.25">
      <c r="A32">
        <v>1737</v>
      </c>
      <c r="B32" t="s">
        <v>82</v>
      </c>
      <c r="C32" t="s">
        <v>68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1737</v>
      </c>
      <c r="B33" t="s">
        <v>34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1737</v>
      </c>
      <c r="B34" t="s">
        <v>13</v>
      </c>
      <c r="C34" t="s">
        <v>68</v>
      </c>
      <c r="D34" t="s">
        <v>33</v>
      </c>
      <c r="E34">
        <v>33</v>
      </c>
      <c r="F34">
        <v>17</v>
      </c>
      <c r="G34">
        <v>3</v>
      </c>
      <c r="H34">
        <v>18</v>
      </c>
      <c r="J34">
        <f t="shared" si="0"/>
        <v>75926</v>
      </c>
      <c r="L34">
        <f t="shared" si="1"/>
        <v>33.895535714285714</v>
      </c>
    </row>
    <row r="35" spans="1:12" x14ac:dyDescent="0.25">
      <c r="A35">
        <v>1737</v>
      </c>
      <c r="B35" t="s">
        <v>14</v>
      </c>
      <c r="C35" t="s">
        <v>68</v>
      </c>
      <c r="D35" t="s">
        <v>33</v>
      </c>
      <c r="H35">
        <v>58325</v>
      </c>
      <c r="I35" t="s">
        <v>119</v>
      </c>
      <c r="J35">
        <f t="shared" si="0"/>
        <v>58325</v>
      </c>
      <c r="L35">
        <f t="shared" si="1"/>
        <v>26.037946428571427</v>
      </c>
    </row>
    <row r="36" spans="1:12" x14ac:dyDescent="0.25">
      <c r="A36">
        <v>1737</v>
      </c>
      <c r="B36" t="s">
        <v>23</v>
      </c>
      <c r="C36" t="s">
        <v>68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1737</v>
      </c>
      <c r="B37" t="s">
        <v>27</v>
      </c>
      <c r="C37" t="s">
        <v>68</v>
      </c>
      <c r="D37" t="s">
        <v>33</v>
      </c>
      <c r="H37">
        <v>142366.5</v>
      </c>
      <c r="I37" t="s">
        <v>122</v>
      </c>
      <c r="J37">
        <f t="shared" si="0"/>
        <v>142366.5</v>
      </c>
      <c r="L37">
        <f t="shared" si="1"/>
        <v>63.556473214285717</v>
      </c>
    </row>
    <row r="38" spans="1:12" x14ac:dyDescent="0.25">
      <c r="A38">
        <v>1737</v>
      </c>
      <c r="B38" t="s">
        <v>15</v>
      </c>
      <c r="C38" t="s">
        <v>68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1737</v>
      </c>
      <c r="B39" t="s">
        <v>42</v>
      </c>
      <c r="C39" t="s">
        <v>68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1737</v>
      </c>
      <c r="B40" t="s">
        <v>83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1737</v>
      </c>
      <c r="B41" t="s">
        <v>47</v>
      </c>
      <c r="C41" t="s">
        <v>68</v>
      </c>
      <c r="D41" t="s">
        <v>33</v>
      </c>
      <c r="H41">
        <v>242.5</v>
      </c>
      <c r="I41" t="s">
        <v>120</v>
      </c>
      <c r="J41">
        <f t="shared" si="0"/>
        <v>242.5</v>
      </c>
      <c r="L41">
        <f t="shared" si="1"/>
        <v>0.10825892857142858</v>
      </c>
    </row>
    <row r="42" spans="1:12" x14ac:dyDescent="0.25">
      <c r="A42">
        <v>1737</v>
      </c>
      <c r="B42" t="s">
        <v>16</v>
      </c>
      <c r="C42" t="s">
        <v>68</v>
      </c>
      <c r="D42" t="s">
        <v>33</v>
      </c>
      <c r="H42">
        <v>428686</v>
      </c>
      <c r="J42">
        <f t="shared" si="0"/>
        <v>428686</v>
      </c>
      <c r="L42">
        <f t="shared" si="1"/>
        <v>191.37767857142856</v>
      </c>
    </row>
    <row r="43" spans="1:12" x14ac:dyDescent="0.25">
      <c r="A43">
        <v>1737</v>
      </c>
      <c r="B43" t="s">
        <v>17</v>
      </c>
      <c r="C43" t="s">
        <v>68</v>
      </c>
      <c r="D43" t="s">
        <v>33</v>
      </c>
      <c r="F43">
        <v>62</v>
      </c>
      <c r="J43">
        <f t="shared" si="0"/>
        <v>6944</v>
      </c>
      <c r="L43">
        <f t="shared" si="1"/>
        <v>3.1</v>
      </c>
    </row>
    <row r="44" spans="1:12" x14ac:dyDescent="0.25">
      <c r="A44">
        <v>1737</v>
      </c>
      <c r="B44" t="s">
        <v>18</v>
      </c>
      <c r="C44" t="s">
        <v>68</v>
      </c>
      <c r="D44" t="s">
        <v>33</v>
      </c>
      <c r="H44">
        <v>1472668</v>
      </c>
      <c r="I44" t="s">
        <v>121</v>
      </c>
      <c r="J44">
        <f t="shared" si="0"/>
        <v>1472668</v>
      </c>
      <c r="L44">
        <f t="shared" si="1"/>
        <v>657.44107142857138</v>
      </c>
    </row>
    <row r="45" spans="1:12" x14ac:dyDescent="0.25">
      <c r="A45">
        <v>1737</v>
      </c>
      <c r="B45" t="s">
        <v>26</v>
      </c>
      <c r="C45" t="s">
        <v>68</v>
      </c>
      <c r="D45" t="s">
        <v>33</v>
      </c>
      <c r="H45">
        <v>37566</v>
      </c>
      <c r="J45">
        <f t="shared" si="0"/>
        <v>37566</v>
      </c>
      <c r="L45">
        <f t="shared" si="1"/>
        <v>16.770535714285714</v>
      </c>
    </row>
    <row r="46" spans="1:12" x14ac:dyDescent="0.25">
      <c r="A46">
        <v>1737</v>
      </c>
      <c r="B46" t="s">
        <v>84</v>
      </c>
      <c r="C46" t="s">
        <v>68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1737</v>
      </c>
      <c r="B47" t="s">
        <v>19</v>
      </c>
      <c r="C47" t="s">
        <v>68</v>
      </c>
      <c r="D47" t="s">
        <v>33</v>
      </c>
      <c r="F47">
        <v>1</v>
      </c>
      <c r="G47">
        <v>2</v>
      </c>
      <c r="H47">
        <v>7</v>
      </c>
      <c r="J47">
        <f t="shared" si="0"/>
        <v>175</v>
      </c>
      <c r="L47">
        <f t="shared" si="1"/>
        <v>7.8125E-2</v>
      </c>
    </row>
    <row r="48" spans="1:12" x14ac:dyDescent="0.25">
      <c r="A48">
        <v>1737</v>
      </c>
      <c r="B48" t="s">
        <v>45</v>
      </c>
      <c r="C48" t="s">
        <v>68</v>
      </c>
      <c r="D48" t="s">
        <v>33</v>
      </c>
      <c r="H48">
        <v>473</v>
      </c>
      <c r="J48">
        <f t="shared" si="0"/>
        <v>473</v>
      </c>
      <c r="L48">
        <f t="shared" si="1"/>
        <v>0.21116071428571428</v>
      </c>
    </row>
    <row r="49" spans="1:12" x14ac:dyDescent="0.25">
      <c r="A49">
        <v>1737</v>
      </c>
      <c r="B49" t="s">
        <v>85</v>
      </c>
      <c r="C49" t="s">
        <v>68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1737</v>
      </c>
      <c r="B50" t="s">
        <v>54</v>
      </c>
      <c r="C50" t="s">
        <v>68</v>
      </c>
      <c r="D50" t="s">
        <v>33</v>
      </c>
      <c r="H50">
        <v>1789</v>
      </c>
      <c r="J50">
        <f t="shared" si="0"/>
        <v>1789</v>
      </c>
      <c r="L50">
        <f t="shared" si="1"/>
        <v>0.79866071428571428</v>
      </c>
    </row>
    <row r="51" spans="1:12" x14ac:dyDescent="0.25">
      <c r="A51">
        <v>1737</v>
      </c>
      <c r="B51" t="s">
        <v>95</v>
      </c>
      <c r="C51" t="s">
        <v>68</v>
      </c>
      <c r="D51" t="s">
        <v>33</v>
      </c>
      <c r="H51">
        <v>935</v>
      </c>
      <c r="J51">
        <f t="shared" si="0"/>
        <v>935</v>
      </c>
      <c r="L51">
        <f t="shared" si="1"/>
        <v>0.4174107142857143</v>
      </c>
    </row>
    <row r="52" spans="1:12" x14ac:dyDescent="0.25">
      <c r="A52">
        <v>1737</v>
      </c>
      <c r="B52" t="s">
        <v>20</v>
      </c>
      <c r="C52" t="s">
        <v>68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1737</v>
      </c>
      <c r="B53" t="s">
        <v>21</v>
      </c>
      <c r="C53" t="s">
        <v>68</v>
      </c>
      <c r="D53" t="s">
        <v>33</v>
      </c>
      <c r="H53">
        <v>5782</v>
      </c>
      <c r="J53">
        <f t="shared" si="0"/>
        <v>5782</v>
      </c>
      <c r="L53">
        <f t="shared" si="1"/>
        <v>2.5812499999999998</v>
      </c>
    </row>
    <row r="54" spans="1:12" x14ac:dyDescent="0.25">
      <c r="A54">
        <v>1737</v>
      </c>
      <c r="B54" t="s">
        <v>90</v>
      </c>
      <c r="C54" t="s">
        <v>68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1737</v>
      </c>
      <c r="B55" t="s">
        <v>22</v>
      </c>
      <c r="C55" t="s">
        <v>68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1737</v>
      </c>
      <c r="B56" t="s">
        <v>61</v>
      </c>
      <c r="C56" t="s">
        <v>68</v>
      </c>
      <c r="D56" t="s">
        <v>33</v>
      </c>
      <c r="E56">
        <v>17</v>
      </c>
      <c r="F56">
        <v>6</v>
      </c>
      <c r="G56">
        <v>1</v>
      </c>
      <c r="J56">
        <f t="shared" si="0"/>
        <v>38780</v>
      </c>
      <c r="L56">
        <f t="shared" si="1"/>
        <v>17.3125</v>
      </c>
    </row>
    <row r="57" spans="1:12" x14ac:dyDescent="0.25">
      <c r="A57">
        <v>1737</v>
      </c>
      <c r="B57" t="s">
        <v>98</v>
      </c>
      <c r="C57" t="s">
        <v>68</v>
      </c>
      <c r="D57" t="s">
        <v>33</v>
      </c>
      <c r="E57">
        <v>28</v>
      </c>
      <c r="J57">
        <f t="shared" si="0"/>
        <v>62720</v>
      </c>
      <c r="L57">
        <f t="shared" si="1"/>
        <v>28</v>
      </c>
    </row>
    <row r="58" spans="1:12" x14ac:dyDescent="0.25">
      <c r="A58">
        <v>1737</v>
      </c>
      <c r="B58" t="s">
        <v>87</v>
      </c>
      <c r="C58" t="s">
        <v>68</v>
      </c>
      <c r="D58" t="s">
        <v>33</v>
      </c>
      <c r="E58">
        <v>23</v>
      </c>
      <c r="F58">
        <v>16</v>
      </c>
      <c r="J58">
        <f t="shared" si="0"/>
        <v>53312</v>
      </c>
      <c r="L58">
        <f t="shared" si="1"/>
        <v>23.8</v>
      </c>
    </row>
    <row r="59" spans="1:12" x14ac:dyDescent="0.25">
      <c r="A59">
        <v>1737</v>
      </c>
      <c r="B59" t="s">
        <v>62</v>
      </c>
      <c r="C59" t="s">
        <v>68</v>
      </c>
      <c r="D59" t="s">
        <v>33</v>
      </c>
      <c r="E59">
        <v>160</v>
      </c>
      <c r="J59">
        <f t="shared" si="0"/>
        <v>358400</v>
      </c>
      <c r="L59">
        <f t="shared" si="1"/>
        <v>160</v>
      </c>
    </row>
    <row r="60" spans="1:12" x14ac:dyDescent="0.25">
      <c r="A60">
        <v>1737</v>
      </c>
      <c r="B60" t="s">
        <v>88</v>
      </c>
      <c r="C60" t="s">
        <v>68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1737</v>
      </c>
      <c r="B61" t="s">
        <v>63</v>
      </c>
      <c r="C61" t="s">
        <v>68</v>
      </c>
      <c r="D61" t="s">
        <v>33</v>
      </c>
      <c r="E61">
        <v>464</v>
      </c>
      <c r="F61">
        <v>3</v>
      </c>
      <c r="G61">
        <v>3</v>
      </c>
      <c r="H61">
        <v>15</v>
      </c>
      <c r="J61">
        <f t="shared" si="0"/>
        <v>1039795</v>
      </c>
      <c r="L61">
        <f t="shared" si="1"/>
        <v>464.19419642857144</v>
      </c>
    </row>
    <row r="62" spans="1:12" x14ac:dyDescent="0.25">
      <c r="A62">
        <v>1737</v>
      </c>
      <c r="B62" t="s">
        <v>89</v>
      </c>
      <c r="C62" t="s">
        <v>68</v>
      </c>
      <c r="D62" t="s">
        <v>33</v>
      </c>
      <c r="E62">
        <v>1005</v>
      </c>
      <c r="H62">
        <v>26949</v>
      </c>
      <c r="J62">
        <f t="shared" si="0"/>
        <v>2278149</v>
      </c>
      <c r="L62">
        <f t="shared" si="1"/>
        <v>1017.0308035714286</v>
      </c>
    </row>
    <row r="63" spans="1:12" x14ac:dyDescent="0.25">
      <c r="A63">
        <v>1737</v>
      </c>
      <c r="B63" t="s">
        <v>70</v>
      </c>
      <c r="C63" t="s">
        <v>68</v>
      </c>
      <c r="D63" t="s">
        <v>33</v>
      </c>
      <c r="E63">
        <v>153</v>
      </c>
      <c r="G63">
        <v>2</v>
      </c>
      <c r="H63">
        <v>3</v>
      </c>
      <c r="J63">
        <f t="shared" si="0"/>
        <v>342779</v>
      </c>
      <c r="L63">
        <f t="shared" si="1"/>
        <v>153.02633928571427</v>
      </c>
    </row>
    <row r="64" spans="1:12" x14ac:dyDescent="0.25">
      <c r="A64">
        <v>1737</v>
      </c>
      <c r="B64" t="s">
        <v>64</v>
      </c>
      <c r="C64" t="s">
        <v>68</v>
      </c>
      <c r="D64" t="s">
        <v>33</v>
      </c>
      <c r="E64">
        <v>16</v>
      </c>
      <c r="J64">
        <f t="shared" si="0"/>
        <v>35840</v>
      </c>
      <c r="L64">
        <f t="shared" si="1"/>
        <v>16</v>
      </c>
    </row>
    <row r="65" spans="1:12" x14ac:dyDescent="0.25">
      <c r="A65">
        <v>1737</v>
      </c>
      <c r="B65" t="s">
        <v>65</v>
      </c>
      <c r="C65" t="s">
        <v>68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1737</v>
      </c>
      <c r="B66" t="s">
        <v>55</v>
      </c>
      <c r="C66" t="s">
        <v>68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1737</v>
      </c>
      <c r="B67" t="s">
        <v>57</v>
      </c>
      <c r="C67" t="s">
        <v>68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1737</v>
      </c>
      <c r="B68" t="s">
        <v>36</v>
      </c>
      <c r="C68" t="s">
        <v>68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1737</v>
      </c>
      <c r="B69" t="s">
        <v>4</v>
      </c>
      <c r="C69" t="s">
        <v>68</v>
      </c>
      <c r="D69" t="s">
        <v>35</v>
      </c>
      <c r="J69">
        <f t="shared" ref="J69:J130" si="2">(E69*2240)+(F69*112)+(G69*28)+H69</f>
        <v>0</v>
      </c>
      <c r="L69">
        <f t="shared" ref="L69:L130" si="3">J69/2240</f>
        <v>0</v>
      </c>
    </row>
    <row r="70" spans="1:12" x14ac:dyDescent="0.25">
      <c r="A70">
        <v>1737</v>
      </c>
      <c r="B70" t="s">
        <v>58</v>
      </c>
      <c r="C70" t="s">
        <v>68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1737</v>
      </c>
      <c r="B71" t="s">
        <v>69</v>
      </c>
      <c r="C71" t="s">
        <v>68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1737</v>
      </c>
      <c r="B72" t="s">
        <v>101</v>
      </c>
      <c r="C72" t="s">
        <v>68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1737</v>
      </c>
      <c r="B73" t="s">
        <v>43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1737</v>
      </c>
      <c r="B74" t="s">
        <v>76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1737</v>
      </c>
      <c r="B75" t="s">
        <v>5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1737</v>
      </c>
      <c r="B76" t="s">
        <v>59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1737</v>
      </c>
      <c r="B77" t="s">
        <v>6</v>
      </c>
      <c r="C77" t="s">
        <v>68</v>
      </c>
      <c r="D77" t="s">
        <v>35</v>
      </c>
      <c r="F77">
        <v>96705</v>
      </c>
      <c r="G77">
        <v>2</v>
      </c>
      <c r="H77">
        <v>17</v>
      </c>
      <c r="J77">
        <f t="shared" si="2"/>
        <v>10831033</v>
      </c>
      <c r="L77">
        <f t="shared" si="3"/>
        <v>4835.2825892857145</v>
      </c>
    </row>
    <row r="78" spans="1:12" x14ac:dyDescent="0.25">
      <c r="A78">
        <v>1737</v>
      </c>
      <c r="B78" t="s">
        <v>60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1737</v>
      </c>
      <c r="B79" t="s">
        <v>38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1737</v>
      </c>
      <c r="B80" t="s">
        <v>37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1737</v>
      </c>
      <c r="B81" t="s">
        <v>8</v>
      </c>
      <c r="C81" t="s">
        <v>68</v>
      </c>
      <c r="D81" t="s">
        <v>35</v>
      </c>
      <c r="F81">
        <v>73</v>
      </c>
      <c r="G81">
        <v>3</v>
      </c>
      <c r="H81">
        <v>18</v>
      </c>
      <c r="J81">
        <f t="shared" si="2"/>
        <v>8278</v>
      </c>
      <c r="L81">
        <f t="shared" si="3"/>
        <v>3.6955357142857141</v>
      </c>
    </row>
    <row r="82" spans="1:12" x14ac:dyDescent="0.25">
      <c r="A82">
        <v>1737</v>
      </c>
      <c r="B82" t="s">
        <v>40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1737</v>
      </c>
      <c r="B83" t="s">
        <v>77</v>
      </c>
      <c r="C83" t="s">
        <v>68</v>
      </c>
      <c r="D83" t="s">
        <v>35</v>
      </c>
      <c r="F83">
        <v>9</v>
      </c>
      <c r="G83">
        <v>3</v>
      </c>
      <c r="H83">
        <v>1</v>
      </c>
      <c r="J83">
        <f t="shared" si="2"/>
        <v>1093</v>
      </c>
      <c r="L83">
        <f t="shared" si="3"/>
        <v>0.48794642857142856</v>
      </c>
    </row>
    <row r="84" spans="1:12" x14ac:dyDescent="0.25">
      <c r="A84">
        <v>1737</v>
      </c>
      <c r="B84" t="s">
        <v>78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1737</v>
      </c>
      <c r="B85" t="s">
        <v>46</v>
      </c>
      <c r="C85" t="s">
        <v>68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1737</v>
      </c>
      <c r="B86" t="s">
        <v>9</v>
      </c>
      <c r="C86" t="s">
        <v>68</v>
      </c>
      <c r="D86" t="s">
        <v>35</v>
      </c>
      <c r="H86">
        <f>638*200+5</f>
        <v>127605</v>
      </c>
      <c r="I86" t="s">
        <v>148</v>
      </c>
      <c r="J86">
        <f t="shared" si="2"/>
        <v>127605</v>
      </c>
      <c r="L86">
        <f t="shared" si="3"/>
        <v>56.966517857142854</v>
      </c>
    </row>
    <row r="87" spans="1:12" x14ac:dyDescent="0.25">
      <c r="A87">
        <v>1737</v>
      </c>
      <c r="B87" t="s">
        <v>10</v>
      </c>
      <c r="C87" t="s">
        <v>68</v>
      </c>
      <c r="D87" t="s">
        <v>35</v>
      </c>
      <c r="F87">
        <v>7164</v>
      </c>
      <c r="G87">
        <v>1</v>
      </c>
      <c r="H87">
        <v>20</v>
      </c>
      <c r="J87">
        <f t="shared" si="2"/>
        <v>802416</v>
      </c>
      <c r="L87">
        <f t="shared" si="3"/>
        <v>358.22142857142859</v>
      </c>
    </row>
    <row r="88" spans="1:12" x14ac:dyDescent="0.25">
      <c r="A88">
        <v>1737</v>
      </c>
      <c r="B88" t="s">
        <v>11</v>
      </c>
      <c r="C88" t="s">
        <v>68</v>
      </c>
      <c r="D88" t="s">
        <v>35</v>
      </c>
      <c r="F88">
        <v>168</v>
      </c>
      <c r="G88">
        <v>2</v>
      </c>
      <c r="H88">
        <v>25</v>
      </c>
      <c r="J88">
        <f t="shared" si="2"/>
        <v>18897</v>
      </c>
      <c r="L88">
        <f t="shared" si="3"/>
        <v>8.4361607142857142</v>
      </c>
    </row>
    <row r="89" spans="1:12" x14ac:dyDescent="0.25">
      <c r="A89">
        <v>1737</v>
      </c>
      <c r="B89" t="s">
        <v>39</v>
      </c>
      <c r="C89" t="s">
        <v>68</v>
      </c>
      <c r="D89" t="s">
        <v>35</v>
      </c>
      <c r="H89">
        <v>112</v>
      </c>
      <c r="J89">
        <f t="shared" si="2"/>
        <v>112</v>
      </c>
      <c r="L89">
        <f t="shared" si="3"/>
        <v>0.05</v>
      </c>
    </row>
    <row r="90" spans="1:12" x14ac:dyDescent="0.25">
      <c r="A90">
        <v>1737</v>
      </c>
      <c r="B90" t="s">
        <v>79</v>
      </c>
      <c r="C90" t="s">
        <v>68</v>
      </c>
      <c r="D90" t="s">
        <v>35</v>
      </c>
      <c r="H90">
        <v>2470</v>
      </c>
      <c r="J90">
        <f t="shared" si="2"/>
        <v>2470</v>
      </c>
      <c r="L90">
        <f t="shared" si="3"/>
        <v>1.1026785714285714</v>
      </c>
    </row>
    <row r="91" spans="1:12" x14ac:dyDescent="0.25">
      <c r="A91">
        <v>1737</v>
      </c>
      <c r="B91" t="s">
        <v>103</v>
      </c>
      <c r="C91" t="s">
        <v>68</v>
      </c>
      <c r="D91" t="s">
        <v>35</v>
      </c>
      <c r="H91">
        <v>927</v>
      </c>
      <c r="J91">
        <f t="shared" si="2"/>
        <v>927</v>
      </c>
      <c r="L91">
        <f t="shared" si="3"/>
        <v>0.41383928571428569</v>
      </c>
    </row>
    <row r="92" spans="1:12" x14ac:dyDescent="0.25">
      <c r="A92">
        <v>1737</v>
      </c>
      <c r="B92" t="s">
        <v>44</v>
      </c>
      <c r="C92" t="s">
        <v>68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1737</v>
      </c>
      <c r="B93" t="s">
        <v>97</v>
      </c>
      <c r="C93" t="s">
        <v>68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1737</v>
      </c>
      <c r="B94" t="s">
        <v>12</v>
      </c>
      <c r="C94" t="s">
        <v>68</v>
      </c>
      <c r="D94" t="s">
        <v>35</v>
      </c>
      <c r="H94">
        <v>14361</v>
      </c>
      <c r="J94">
        <f t="shared" si="2"/>
        <v>14361</v>
      </c>
      <c r="L94">
        <f t="shared" si="3"/>
        <v>6.4111607142857139</v>
      </c>
    </row>
    <row r="95" spans="1:12" x14ac:dyDescent="0.25">
      <c r="A95">
        <v>1737</v>
      </c>
      <c r="B95" t="s">
        <v>82</v>
      </c>
      <c r="C95" t="s">
        <v>68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1737</v>
      </c>
      <c r="B96" t="s">
        <v>34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1737</v>
      </c>
      <c r="B97" t="s">
        <v>13</v>
      </c>
      <c r="C97" t="s">
        <v>68</v>
      </c>
      <c r="D97" t="s">
        <v>35</v>
      </c>
      <c r="E97">
        <v>1</v>
      </c>
      <c r="G97">
        <v>1</v>
      </c>
      <c r="H97">
        <v>5</v>
      </c>
      <c r="J97">
        <f t="shared" si="2"/>
        <v>2273</v>
      </c>
      <c r="L97">
        <f t="shared" si="3"/>
        <v>1.0147321428571427</v>
      </c>
    </row>
    <row r="98" spans="1:12" x14ac:dyDescent="0.25">
      <c r="A98">
        <v>1737</v>
      </c>
      <c r="B98" t="s">
        <v>14</v>
      </c>
      <c r="C98" t="s">
        <v>68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1737</v>
      </c>
      <c r="B99" t="s">
        <v>23</v>
      </c>
      <c r="C99" t="s">
        <v>68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1737</v>
      </c>
      <c r="B100" t="s">
        <v>27</v>
      </c>
      <c r="C100" t="s">
        <v>68</v>
      </c>
      <c r="D100" t="s">
        <v>35</v>
      </c>
      <c r="H100">
        <v>17534.5</v>
      </c>
      <c r="I100" t="s">
        <v>147</v>
      </c>
      <c r="J100">
        <f t="shared" si="2"/>
        <v>17534.5</v>
      </c>
      <c r="L100">
        <f t="shared" si="3"/>
        <v>7.8279017857142854</v>
      </c>
    </row>
    <row r="101" spans="1:12" x14ac:dyDescent="0.25">
      <c r="A101">
        <v>1737</v>
      </c>
      <c r="B101" t="s">
        <v>15</v>
      </c>
      <c r="C101" t="s">
        <v>68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1737</v>
      </c>
      <c r="B102" t="s">
        <v>93</v>
      </c>
      <c r="C102" t="s">
        <v>68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1737</v>
      </c>
      <c r="B103" t="s">
        <v>42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1737</v>
      </c>
      <c r="B104" t="s">
        <v>83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1737</v>
      </c>
      <c r="B105" t="s">
        <v>47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1737</v>
      </c>
      <c r="B106" t="s">
        <v>16</v>
      </c>
      <c r="C106" t="s">
        <v>68</v>
      </c>
      <c r="D106" t="s">
        <v>35</v>
      </c>
      <c r="H106">
        <v>172985</v>
      </c>
      <c r="J106">
        <f t="shared" si="2"/>
        <v>172985</v>
      </c>
      <c r="L106">
        <f t="shared" si="3"/>
        <v>77.225446428571431</v>
      </c>
    </row>
    <row r="107" spans="1:12" x14ac:dyDescent="0.25">
      <c r="A107">
        <v>1737</v>
      </c>
      <c r="B107" t="s">
        <v>17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1737</v>
      </c>
      <c r="B108" t="s">
        <v>18</v>
      </c>
      <c r="C108" t="s">
        <v>68</v>
      </c>
      <c r="D108" t="s">
        <v>35</v>
      </c>
      <c r="H108">
        <v>234445</v>
      </c>
      <c r="I108" t="s">
        <v>146</v>
      </c>
      <c r="J108">
        <f t="shared" si="2"/>
        <v>234445</v>
      </c>
      <c r="L108">
        <f t="shared" si="3"/>
        <v>104.66294642857143</v>
      </c>
    </row>
    <row r="109" spans="1:12" x14ac:dyDescent="0.25">
      <c r="A109">
        <v>1737</v>
      </c>
      <c r="B109" t="s">
        <v>26</v>
      </c>
      <c r="C109" t="s">
        <v>68</v>
      </c>
      <c r="D109" t="s">
        <v>35</v>
      </c>
      <c r="H109">
        <v>3582</v>
      </c>
      <c r="J109">
        <f t="shared" si="2"/>
        <v>3582</v>
      </c>
      <c r="L109">
        <f t="shared" si="3"/>
        <v>1.5991071428571428</v>
      </c>
    </row>
    <row r="110" spans="1:12" x14ac:dyDescent="0.25">
      <c r="A110">
        <v>1737</v>
      </c>
      <c r="B110" t="s">
        <v>84</v>
      </c>
      <c r="C110" t="s">
        <v>68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1737</v>
      </c>
      <c r="B111" t="s">
        <v>19</v>
      </c>
      <c r="C111" t="s">
        <v>68</v>
      </c>
      <c r="D111" t="s">
        <v>35</v>
      </c>
      <c r="F111">
        <v>19</v>
      </c>
      <c r="G111">
        <v>2</v>
      </c>
      <c r="H111">
        <v>1</v>
      </c>
      <c r="J111">
        <f t="shared" si="2"/>
        <v>2185</v>
      </c>
      <c r="L111">
        <f t="shared" si="3"/>
        <v>0.9754464285714286</v>
      </c>
    </row>
    <row r="112" spans="1:12" x14ac:dyDescent="0.25">
      <c r="A112">
        <v>1737</v>
      </c>
      <c r="B112" t="s">
        <v>45</v>
      </c>
      <c r="C112" t="s">
        <v>68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1737</v>
      </c>
      <c r="B113" t="s">
        <v>85</v>
      </c>
      <c r="C113" t="s">
        <v>68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1737</v>
      </c>
      <c r="B114" t="s">
        <v>54</v>
      </c>
      <c r="C114" t="s">
        <v>68</v>
      </c>
      <c r="D114" t="s">
        <v>35</v>
      </c>
      <c r="H114">
        <v>24</v>
      </c>
      <c r="J114">
        <f t="shared" si="2"/>
        <v>24</v>
      </c>
      <c r="L114">
        <f t="shared" si="3"/>
        <v>1.0714285714285714E-2</v>
      </c>
    </row>
    <row r="115" spans="1:12" x14ac:dyDescent="0.25">
      <c r="A115">
        <v>1737</v>
      </c>
      <c r="B115" t="s">
        <v>95</v>
      </c>
      <c r="C115" t="s">
        <v>68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1737</v>
      </c>
      <c r="B116" t="s">
        <v>20</v>
      </c>
      <c r="C116" t="s">
        <v>68</v>
      </c>
      <c r="D116" t="s">
        <v>35</v>
      </c>
      <c r="H116">
        <v>10000</v>
      </c>
      <c r="J116">
        <f t="shared" si="2"/>
        <v>10000</v>
      </c>
      <c r="L116">
        <f t="shared" si="3"/>
        <v>4.4642857142857144</v>
      </c>
    </row>
    <row r="117" spans="1:12" x14ac:dyDescent="0.25">
      <c r="A117">
        <v>1737</v>
      </c>
      <c r="B117" t="s">
        <v>21</v>
      </c>
      <c r="C117" t="s">
        <v>68</v>
      </c>
      <c r="D117" t="s">
        <v>35</v>
      </c>
      <c r="H117">
        <v>664</v>
      </c>
      <c r="J117">
        <f t="shared" si="2"/>
        <v>664</v>
      </c>
      <c r="L117">
        <f t="shared" si="3"/>
        <v>0.29642857142857143</v>
      </c>
    </row>
    <row r="118" spans="1:12" x14ac:dyDescent="0.25">
      <c r="A118">
        <v>1737</v>
      </c>
      <c r="B118" t="s">
        <v>90</v>
      </c>
      <c r="C118" t="s">
        <v>68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1737</v>
      </c>
      <c r="B119" t="s">
        <v>22</v>
      </c>
      <c r="C119" t="s">
        <v>68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1737</v>
      </c>
      <c r="B120" t="s">
        <v>61</v>
      </c>
      <c r="C120" t="s">
        <v>68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1737</v>
      </c>
      <c r="B121" t="s">
        <v>91</v>
      </c>
      <c r="C121" t="s">
        <v>68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1737</v>
      </c>
      <c r="B122" t="s">
        <v>98</v>
      </c>
      <c r="C122" t="s">
        <v>68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1737</v>
      </c>
      <c r="B123" t="s">
        <v>87</v>
      </c>
      <c r="C123" t="s">
        <v>68</v>
      </c>
      <c r="D123" t="s">
        <v>35</v>
      </c>
      <c r="E123">
        <v>16</v>
      </c>
      <c r="F123">
        <v>10</v>
      </c>
      <c r="J123">
        <f t="shared" si="2"/>
        <v>36960</v>
      </c>
      <c r="L123">
        <f t="shared" si="3"/>
        <v>16.5</v>
      </c>
    </row>
    <row r="124" spans="1:12" x14ac:dyDescent="0.25">
      <c r="A124">
        <v>1737</v>
      </c>
      <c r="B124" t="s">
        <v>62</v>
      </c>
      <c r="C124" t="s">
        <v>68</v>
      </c>
      <c r="D124" t="s">
        <v>35</v>
      </c>
      <c r="E124">
        <v>41</v>
      </c>
      <c r="F124">
        <v>5</v>
      </c>
      <c r="H124">
        <v>3</v>
      </c>
      <c r="J124">
        <f t="shared" si="2"/>
        <v>92403</v>
      </c>
      <c r="L124">
        <f t="shared" si="3"/>
        <v>41.251339285714288</v>
      </c>
    </row>
    <row r="125" spans="1:12" x14ac:dyDescent="0.25">
      <c r="A125">
        <v>1737</v>
      </c>
      <c r="B125" t="s">
        <v>88</v>
      </c>
      <c r="C125" t="s">
        <v>68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1737</v>
      </c>
      <c r="B126" t="s">
        <v>63</v>
      </c>
      <c r="C126" t="s">
        <v>68</v>
      </c>
      <c r="D126" t="s">
        <v>35</v>
      </c>
      <c r="E126">
        <v>218</v>
      </c>
      <c r="F126">
        <v>17</v>
      </c>
      <c r="G126">
        <v>2</v>
      </c>
      <c r="H126">
        <v>20</v>
      </c>
      <c r="J126">
        <f t="shared" si="2"/>
        <v>490300</v>
      </c>
      <c r="L126">
        <f t="shared" si="3"/>
        <v>218.88392857142858</v>
      </c>
    </row>
    <row r="127" spans="1:12" x14ac:dyDescent="0.25">
      <c r="A127">
        <v>1737</v>
      </c>
      <c r="B127" t="s">
        <v>89</v>
      </c>
      <c r="C127" t="s">
        <v>68</v>
      </c>
      <c r="D127" t="s">
        <v>35</v>
      </c>
      <c r="F127">
        <v>1821</v>
      </c>
      <c r="G127">
        <v>2</v>
      </c>
      <c r="H127">
        <v>69</v>
      </c>
      <c r="J127">
        <f t="shared" si="2"/>
        <v>204077</v>
      </c>
      <c r="L127">
        <f t="shared" si="3"/>
        <v>91.105803571428567</v>
      </c>
    </row>
    <row r="128" spans="1:12" x14ac:dyDescent="0.25">
      <c r="A128">
        <v>1737</v>
      </c>
      <c r="B128" t="s">
        <v>70</v>
      </c>
      <c r="C128" t="s">
        <v>68</v>
      </c>
      <c r="D128" t="s">
        <v>35</v>
      </c>
      <c r="E128">
        <v>8</v>
      </c>
      <c r="F128">
        <v>12</v>
      </c>
      <c r="H128">
        <v>6</v>
      </c>
      <c r="J128">
        <f t="shared" si="2"/>
        <v>19270</v>
      </c>
      <c r="L128">
        <f t="shared" si="3"/>
        <v>8.6026785714285712</v>
      </c>
    </row>
    <row r="129" spans="1:12" x14ac:dyDescent="0.25">
      <c r="A129">
        <v>1737</v>
      </c>
      <c r="B129" t="s">
        <v>64</v>
      </c>
      <c r="C129" t="s">
        <v>68</v>
      </c>
      <c r="D129" t="s">
        <v>35</v>
      </c>
      <c r="E129">
        <v>9</v>
      </c>
      <c r="F129">
        <v>18</v>
      </c>
      <c r="G129">
        <v>1</v>
      </c>
      <c r="H129">
        <v>26</v>
      </c>
      <c r="J129">
        <f t="shared" si="2"/>
        <v>22230</v>
      </c>
      <c r="L129">
        <f t="shared" si="3"/>
        <v>9.9241071428571423</v>
      </c>
    </row>
    <row r="130" spans="1:12" x14ac:dyDescent="0.25">
      <c r="A130">
        <v>1737</v>
      </c>
      <c r="B130" t="s">
        <v>65</v>
      </c>
      <c r="C130" t="s">
        <v>68</v>
      </c>
      <c r="D130" t="s">
        <v>35</v>
      </c>
      <c r="J130">
        <f t="shared" si="2"/>
        <v>0</v>
      </c>
      <c r="L130">
        <f t="shared" si="3"/>
        <v>0</v>
      </c>
    </row>
  </sheetData>
  <autoFilter ref="A1:O61" xr:uid="{8C2F7725-5A61-4A1B-A740-CC887BCB0E68}">
    <sortState xmlns:xlrd2="http://schemas.microsoft.com/office/spreadsheetml/2017/richdata2" ref="A2:O61">
      <sortCondition ref="B1:B6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topLeftCell="A106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1737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1737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1737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1737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1737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1737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1737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1737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1737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1737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1737</v>
      </c>
      <c r="B12" t="s">
        <v>6</v>
      </c>
      <c r="C12" t="s">
        <v>72</v>
      </c>
      <c r="D12" t="s">
        <v>33</v>
      </c>
      <c r="F12">
        <v>23723</v>
      </c>
      <c r="H12">
        <v>10</v>
      </c>
      <c r="J12">
        <f t="shared" si="0"/>
        <v>2656986</v>
      </c>
      <c r="L12">
        <f t="shared" si="1"/>
        <v>1186.1544642857143</v>
      </c>
    </row>
    <row r="13" spans="1:15" x14ac:dyDescent="0.25">
      <c r="A13">
        <v>1737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1737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1737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1737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1737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1737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1737</v>
      </c>
      <c r="B19" t="s">
        <v>77</v>
      </c>
      <c r="C19" t="s">
        <v>72</v>
      </c>
      <c r="D19" t="s">
        <v>33</v>
      </c>
      <c r="F19">
        <v>2</v>
      </c>
      <c r="G19">
        <v>2</v>
      </c>
      <c r="H19">
        <v>22</v>
      </c>
      <c r="J19">
        <f t="shared" si="0"/>
        <v>302</v>
      </c>
      <c r="L19">
        <f t="shared" si="1"/>
        <v>0.13482142857142856</v>
      </c>
    </row>
    <row r="20" spans="1:12" x14ac:dyDescent="0.25">
      <c r="A20">
        <v>1737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1737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1737</v>
      </c>
      <c r="B22" t="s">
        <v>9</v>
      </c>
      <c r="C22" t="s">
        <v>72</v>
      </c>
      <c r="D22" t="s">
        <v>33</v>
      </c>
      <c r="H22">
        <f>167*200+33</f>
        <v>33433</v>
      </c>
      <c r="I22" t="s">
        <v>127</v>
      </c>
      <c r="J22">
        <f t="shared" si="0"/>
        <v>33433</v>
      </c>
      <c r="L22">
        <f t="shared" si="1"/>
        <v>14.925446428571428</v>
      </c>
    </row>
    <row r="23" spans="1:12" x14ac:dyDescent="0.25">
      <c r="A23">
        <v>1737</v>
      </c>
      <c r="B23" t="s">
        <v>10</v>
      </c>
      <c r="C23" t="s">
        <v>72</v>
      </c>
      <c r="D23" t="s">
        <v>33</v>
      </c>
      <c r="F23">
        <v>14</v>
      </c>
      <c r="J23">
        <f t="shared" si="0"/>
        <v>1568</v>
      </c>
      <c r="L23">
        <f t="shared" si="1"/>
        <v>0.7</v>
      </c>
    </row>
    <row r="24" spans="1:12" x14ac:dyDescent="0.25">
      <c r="A24">
        <v>1737</v>
      </c>
      <c r="B24" t="s">
        <v>11</v>
      </c>
      <c r="C24" t="s">
        <v>72</v>
      </c>
      <c r="D24" t="s">
        <v>33</v>
      </c>
      <c r="F24">
        <v>13</v>
      </c>
      <c r="G24">
        <v>2</v>
      </c>
      <c r="H24">
        <v>18</v>
      </c>
      <c r="J24">
        <f t="shared" si="0"/>
        <v>1530</v>
      </c>
      <c r="L24">
        <f t="shared" si="1"/>
        <v>0.6830357142857143</v>
      </c>
    </row>
    <row r="25" spans="1:12" x14ac:dyDescent="0.25">
      <c r="A25">
        <v>1737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1737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1737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1737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1737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1737</v>
      </c>
      <c r="B30" t="s">
        <v>12</v>
      </c>
      <c r="C30" t="s">
        <v>72</v>
      </c>
      <c r="D30" t="s">
        <v>33</v>
      </c>
      <c r="H30">
        <v>200</v>
      </c>
      <c r="J30">
        <f t="shared" si="0"/>
        <v>200</v>
      </c>
      <c r="L30">
        <f t="shared" si="1"/>
        <v>8.9285714285714288E-2</v>
      </c>
    </row>
    <row r="31" spans="1:12" x14ac:dyDescent="0.25">
      <c r="A31">
        <v>1737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1737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1737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1737</v>
      </c>
      <c r="B34" t="s">
        <v>14</v>
      </c>
      <c r="C34" t="s">
        <v>72</v>
      </c>
      <c r="D34" t="s">
        <v>33</v>
      </c>
      <c r="H34">
        <v>1000.5</v>
      </c>
      <c r="I34" t="s">
        <v>124</v>
      </c>
      <c r="J34">
        <f t="shared" si="0"/>
        <v>1000.5</v>
      </c>
      <c r="L34">
        <f t="shared" si="1"/>
        <v>0.44665178571428571</v>
      </c>
    </row>
    <row r="35" spans="1:12" x14ac:dyDescent="0.25">
      <c r="A35">
        <v>1737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1737</v>
      </c>
      <c r="B36" t="s">
        <v>27</v>
      </c>
      <c r="C36" t="s">
        <v>72</v>
      </c>
      <c r="D36" t="s">
        <v>33</v>
      </c>
      <c r="H36">
        <v>41710.5</v>
      </c>
      <c r="I36" t="s">
        <v>126</v>
      </c>
      <c r="J36">
        <f t="shared" si="0"/>
        <v>41710.5</v>
      </c>
      <c r="L36">
        <f t="shared" si="1"/>
        <v>18.62075892857143</v>
      </c>
    </row>
    <row r="37" spans="1:12" x14ac:dyDescent="0.25">
      <c r="A37">
        <v>1737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1737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1737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1737</v>
      </c>
      <c r="B40" t="s">
        <v>47</v>
      </c>
      <c r="C40" t="s">
        <v>72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1737</v>
      </c>
      <c r="B41" t="s">
        <v>16</v>
      </c>
      <c r="C41" t="s">
        <v>72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1737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1737</v>
      </c>
      <c r="B43" t="s">
        <v>18</v>
      </c>
      <c r="C43" t="s">
        <v>72</v>
      </c>
      <c r="D43" t="s">
        <v>33</v>
      </c>
      <c r="H43">
        <v>9222.5</v>
      </c>
      <c r="I43" t="s">
        <v>125</v>
      </c>
      <c r="J43">
        <f t="shared" si="0"/>
        <v>9222.5</v>
      </c>
      <c r="L43">
        <f t="shared" si="1"/>
        <v>4.1171875</v>
      </c>
    </row>
    <row r="44" spans="1:12" x14ac:dyDescent="0.25">
      <c r="A44">
        <v>1737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1737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1737</v>
      </c>
      <c r="B46" t="s">
        <v>19</v>
      </c>
      <c r="C46" t="s">
        <v>72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1737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1737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1737</v>
      </c>
      <c r="B49" t="s">
        <v>54</v>
      </c>
      <c r="C49" t="s">
        <v>72</v>
      </c>
      <c r="D49" t="s">
        <v>33</v>
      </c>
      <c r="H49">
        <v>6</v>
      </c>
      <c r="J49">
        <f t="shared" si="0"/>
        <v>6</v>
      </c>
      <c r="L49">
        <f t="shared" si="1"/>
        <v>2.6785714285714286E-3</v>
      </c>
    </row>
    <row r="50" spans="1:12" x14ac:dyDescent="0.25">
      <c r="A50">
        <v>1737</v>
      </c>
      <c r="B50" t="s">
        <v>95</v>
      </c>
      <c r="C50" t="s">
        <v>72</v>
      </c>
      <c r="D50" t="s">
        <v>33</v>
      </c>
      <c r="H50">
        <v>16</v>
      </c>
      <c r="J50">
        <f t="shared" si="0"/>
        <v>16</v>
      </c>
      <c r="L50">
        <f t="shared" si="1"/>
        <v>7.1428571428571426E-3</v>
      </c>
    </row>
    <row r="51" spans="1:12" x14ac:dyDescent="0.25">
      <c r="A51">
        <v>1737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1737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1737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1737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1737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1737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1737</v>
      </c>
      <c r="B57" t="s">
        <v>62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1737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1737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1737</v>
      </c>
      <c r="B60" t="s">
        <v>89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1737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1737</v>
      </c>
      <c r="B62" t="s">
        <v>64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1737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1737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1737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1737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1737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1737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1737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1737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1737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1737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1737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1737</v>
      </c>
      <c r="B74" t="s">
        <v>6</v>
      </c>
      <c r="C74" t="s">
        <v>72</v>
      </c>
      <c r="D74" t="s">
        <v>35</v>
      </c>
      <c r="F74">
        <v>5939</v>
      </c>
      <c r="H74">
        <v>4</v>
      </c>
      <c r="J74">
        <f t="shared" si="2"/>
        <v>665172</v>
      </c>
      <c r="L74">
        <f t="shared" si="3"/>
        <v>296.95178571428573</v>
      </c>
    </row>
    <row r="75" spans="1:12" x14ac:dyDescent="0.25">
      <c r="A75">
        <v>1737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1737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1737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1737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1737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1737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1737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1737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1737</v>
      </c>
      <c r="B83" t="s">
        <v>9</v>
      </c>
      <c r="C83" t="s">
        <v>72</v>
      </c>
      <c r="D83" t="s">
        <v>35</v>
      </c>
      <c r="H83">
        <f>505*200</f>
        <v>101000</v>
      </c>
      <c r="I83" t="s">
        <v>150</v>
      </c>
      <c r="J83">
        <f t="shared" si="2"/>
        <v>101000</v>
      </c>
      <c r="L83">
        <f t="shared" si="3"/>
        <v>45.089285714285715</v>
      </c>
    </row>
    <row r="84" spans="1:12" x14ac:dyDescent="0.25">
      <c r="A84">
        <v>1737</v>
      </c>
      <c r="B84" t="s">
        <v>10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1737</v>
      </c>
      <c r="B85" t="s">
        <v>11</v>
      </c>
      <c r="C85" t="s">
        <v>72</v>
      </c>
      <c r="D85" t="s">
        <v>35</v>
      </c>
      <c r="F85">
        <v>50</v>
      </c>
      <c r="G85">
        <v>2</v>
      </c>
      <c r="H85">
        <v>20</v>
      </c>
      <c r="J85">
        <f t="shared" si="2"/>
        <v>5676</v>
      </c>
      <c r="L85">
        <f t="shared" si="3"/>
        <v>2.5339285714285715</v>
      </c>
    </row>
    <row r="86" spans="1:12" x14ac:dyDescent="0.25">
      <c r="A86">
        <v>1737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1737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1737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1737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1737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1737</v>
      </c>
      <c r="B91" t="s">
        <v>12</v>
      </c>
      <c r="C91" t="s">
        <v>72</v>
      </c>
      <c r="D91" t="s">
        <v>35</v>
      </c>
      <c r="H91">
        <v>774</v>
      </c>
      <c r="J91">
        <f t="shared" si="2"/>
        <v>774</v>
      </c>
      <c r="L91">
        <f t="shared" si="3"/>
        <v>0.34553571428571428</v>
      </c>
    </row>
    <row r="92" spans="1:12" x14ac:dyDescent="0.25">
      <c r="A92">
        <v>1737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1737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1737</v>
      </c>
      <c r="B94" t="s">
        <v>13</v>
      </c>
      <c r="C94" t="s">
        <v>72</v>
      </c>
      <c r="D94" t="s">
        <v>35</v>
      </c>
      <c r="F94">
        <v>5</v>
      </c>
      <c r="G94">
        <v>3</v>
      </c>
      <c r="H94">
        <v>3</v>
      </c>
      <c r="J94">
        <f t="shared" si="2"/>
        <v>647</v>
      </c>
      <c r="L94">
        <f t="shared" si="3"/>
        <v>0.28883928571428569</v>
      </c>
    </row>
    <row r="95" spans="1:12" x14ac:dyDescent="0.25">
      <c r="A95">
        <v>1737</v>
      </c>
      <c r="B95" t="s">
        <v>14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1737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1737</v>
      </c>
      <c r="B97" t="s">
        <v>27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1737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1737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1737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1737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1737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1737</v>
      </c>
      <c r="B103" t="s">
        <v>16</v>
      </c>
      <c r="C103" t="s">
        <v>72</v>
      </c>
      <c r="D103" t="s">
        <v>35</v>
      </c>
      <c r="H103">
        <v>59</v>
      </c>
      <c r="J103">
        <f t="shared" si="2"/>
        <v>59</v>
      </c>
      <c r="L103">
        <f t="shared" si="3"/>
        <v>2.6339285714285714E-2</v>
      </c>
    </row>
    <row r="104" spans="1:12" x14ac:dyDescent="0.25">
      <c r="A104">
        <v>1737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1737</v>
      </c>
      <c r="B105" t="s">
        <v>18</v>
      </c>
      <c r="C105" t="s">
        <v>72</v>
      </c>
      <c r="D105" t="s">
        <v>35</v>
      </c>
      <c r="H105">
        <v>6026.5</v>
      </c>
      <c r="I105" t="s">
        <v>149</v>
      </c>
      <c r="J105">
        <f t="shared" si="2"/>
        <v>6026.5</v>
      </c>
      <c r="L105">
        <f t="shared" si="3"/>
        <v>2.6904017857142857</v>
      </c>
    </row>
    <row r="106" spans="1:12" x14ac:dyDescent="0.25">
      <c r="A106">
        <v>1737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1737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1737</v>
      </c>
      <c r="B108" t="s">
        <v>19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1737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1737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1737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1737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1737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1737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1737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1737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1737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1737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1737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1737</v>
      </c>
      <c r="B120" t="s">
        <v>62</v>
      </c>
      <c r="C120" t="s">
        <v>72</v>
      </c>
      <c r="D120" t="s">
        <v>35</v>
      </c>
      <c r="E120">
        <v>9</v>
      </c>
      <c r="J120">
        <f t="shared" si="2"/>
        <v>20160</v>
      </c>
      <c r="L120">
        <f t="shared" si="3"/>
        <v>9</v>
      </c>
    </row>
    <row r="121" spans="1:12" x14ac:dyDescent="0.25">
      <c r="A121">
        <v>1737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1737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1737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1737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1737</v>
      </c>
      <c r="B125" t="s">
        <v>64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1737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97" workbookViewId="0">
      <selection activeCell="H44" sqref="H4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1737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1737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1737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1737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1737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1737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1737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1737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1737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1737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1737</v>
      </c>
      <c r="B12" t="s">
        <v>6</v>
      </c>
      <c r="C12" t="s">
        <v>73</v>
      </c>
      <c r="D12" t="s">
        <v>33</v>
      </c>
      <c r="F12">
        <v>9077</v>
      </c>
      <c r="G12">
        <v>3</v>
      </c>
      <c r="H12">
        <v>11</v>
      </c>
      <c r="J12">
        <f t="shared" si="0"/>
        <v>1016719</v>
      </c>
      <c r="L12">
        <f t="shared" si="1"/>
        <v>453.89241071428569</v>
      </c>
    </row>
    <row r="13" spans="1:15" x14ac:dyDescent="0.25">
      <c r="A13">
        <v>1737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1737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1737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1737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1737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1737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1737</v>
      </c>
      <c r="B19" t="s">
        <v>77</v>
      </c>
      <c r="C19" t="s">
        <v>73</v>
      </c>
      <c r="D19" t="s">
        <v>33</v>
      </c>
      <c r="F19">
        <v>1</v>
      </c>
      <c r="H19">
        <v>13</v>
      </c>
      <c r="J19">
        <f t="shared" si="0"/>
        <v>125</v>
      </c>
      <c r="L19">
        <f t="shared" si="1"/>
        <v>5.5803571428571432E-2</v>
      </c>
    </row>
    <row r="20" spans="1:12" x14ac:dyDescent="0.25">
      <c r="A20">
        <v>1737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1737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1737</v>
      </c>
      <c r="B22" t="s">
        <v>9</v>
      </c>
      <c r="C22" t="s">
        <v>73</v>
      </c>
      <c r="D22" t="s">
        <v>33</v>
      </c>
      <c r="H22">
        <f>3*200</f>
        <v>600</v>
      </c>
      <c r="I22" t="s">
        <v>131</v>
      </c>
      <c r="J22">
        <f t="shared" si="0"/>
        <v>600</v>
      </c>
      <c r="L22">
        <f t="shared" si="1"/>
        <v>0.26785714285714285</v>
      </c>
    </row>
    <row r="23" spans="1:12" x14ac:dyDescent="0.25">
      <c r="A23">
        <v>1737</v>
      </c>
      <c r="B23" t="s">
        <v>10</v>
      </c>
      <c r="C23" t="s">
        <v>73</v>
      </c>
      <c r="D23" t="s">
        <v>33</v>
      </c>
      <c r="F23">
        <v>1</v>
      </c>
      <c r="G23">
        <v>3</v>
      </c>
      <c r="H23">
        <v>21</v>
      </c>
      <c r="J23">
        <f t="shared" si="0"/>
        <v>217</v>
      </c>
      <c r="L23">
        <f t="shared" si="1"/>
        <v>9.6875000000000003E-2</v>
      </c>
    </row>
    <row r="24" spans="1:12" x14ac:dyDescent="0.25">
      <c r="A24">
        <v>1737</v>
      </c>
      <c r="B24" t="s">
        <v>11</v>
      </c>
      <c r="C24" t="s">
        <v>73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1737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1737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1737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1737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1737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1737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1737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1737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1737</v>
      </c>
      <c r="B33" t="s">
        <v>13</v>
      </c>
      <c r="C33" t="s">
        <v>73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1737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1737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1737</v>
      </c>
      <c r="B36" t="s">
        <v>27</v>
      </c>
      <c r="C36" t="s">
        <v>73</v>
      </c>
      <c r="D36" t="s">
        <v>33</v>
      </c>
      <c r="H36">
        <v>1470.5</v>
      </c>
      <c r="I36" t="s">
        <v>130</v>
      </c>
      <c r="J36">
        <f t="shared" si="0"/>
        <v>1470.5</v>
      </c>
      <c r="L36">
        <f t="shared" si="1"/>
        <v>0.65647321428571426</v>
      </c>
    </row>
    <row r="37" spans="1:12" x14ac:dyDescent="0.25">
      <c r="A37">
        <v>1737</v>
      </c>
      <c r="B37" t="s">
        <v>15</v>
      </c>
      <c r="C37" t="s">
        <v>73</v>
      </c>
      <c r="D37" t="s">
        <v>33</v>
      </c>
      <c r="F37">
        <v>8</v>
      </c>
      <c r="J37">
        <f t="shared" si="0"/>
        <v>896</v>
      </c>
      <c r="L37">
        <f t="shared" si="1"/>
        <v>0.4</v>
      </c>
    </row>
    <row r="38" spans="1:12" x14ac:dyDescent="0.25">
      <c r="A38">
        <v>1737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1737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1737</v>
      </c>
      <c r="B40" t="s">
        <v>47</v>
      </c>
      <c r="C40" t="s">
        <v>73</v>
      </c>
      <c r="D40" t="s">
        <v>33</v>
      </c>
      <c r="H40">
        <v>10</v>
      </c>
      <c r="I40" t="s">
        <v>128</v>
      </c>
      <c r="J40">
        <f t="shared" si="0"/>
        <v>10</v>
      </c>
      <c r="L40">
        <f t="shared" si="1"/>
        <v>4.464285714285714E-3</v>
      </c>
    </row>
    <row r="41" spans="1:12" x14ac:dyDescent="0.25">
      <c r="A41">
        <v>1737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1737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1737</v>
      </c>
      <c r="B43" t="s">
        <v>18</v>
      </c>
      <c r="C43" t="s">
        <v>73</v>
      </c>
      <c r="D43" t="s">
        <v>33</v>
      </c>
      <c r="H43">
        <v>2860.5</v>
      </c>
      <c r="I43" t="s">
        <v>129</v>
      </c>
      <c r="J43">
        <f t="shared" si="0"/>
        <v>2860.5</v>
      </c>
      <c r="L43">
        <f t="shared" si="1"/>
        <v>1.2770089285714286</v>
      </c>
    </row>
    <row r="44" spans="1:12" x14ac:dyDescent="0.25">
      <c r="A44">
        <v>1737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1737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1737</v>
      </c>
      <c r="B46" t="s">
        <v>19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1737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1737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1737</v>
      </c>
      <c r="B49" t="s">
        <v>54</v>
      </c>
      <c r="C49" t="s">
        <v>73</v>
      </c>
      <c r="D49" t="s">
        <v>33</v>
      </c>
      <c r="H49">
        <v>72</v>
      </c>
      <c r="J49">
        <f t="shared" si="0"/>
        <v>72</v>
      </c>
      <c r="L49">
        <f t="shared" si="1"/>
        <v>3.214285714285714E-2</v>
      </c>
    </row>
    <row r="50" spans="1:12" x14ac:dyDescent="0.25">
      <c r="A50">
        <v>1737</v>
      </c>
      <c r="B50" t="s">
        <v>95</v>
      </c>
      <c r="C50" t="s">
        <v>73</v>
      </c>
      <c r="D50" t="s">
        <v>33</v>
      </c>
      <c r="H50">
        <v>10</v>
      </c>
      <c r="J50">
        <f t="shared" si="0"/>
        <v>10</v>
      </c>
      <c r="L50">
        <f t="shared" si="1"/>
        <v>4.464285714285714E-3</v>
      </c>
    </row>
    <row r="51" spans="1:12" x14ac:dyDescent="0.25">
      <c r="A51">
        <v>1737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1737</v>
      </c>
      <c r="B52" t="s">
        <v>21</v>
      </c>
      <c r="C52" t="s">
        <v>73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1737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1737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1737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1737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1737</v>
      </c>
      <c r="B57" t="s">
        <v>62</v>
      </c>
      <c r="C57" t="s">
        <v>73</v>
      </c>
      <c r="D57" t="s">
        <v>33</v>
      </c>
      <c r="E57">
        <v>20.5</v>
      </c>
      <c r="J57">
        <f t="shared" si="0"/>
        <v>45920</v>
      </c>
      <c r="L57">
        <f t="shared" si="1"/>
        <v>20.5</v>
      </c>
    </row>
    <row r="58" spans="1:12" x14ac:dyDescent="0.25">
      <c r="A58">
        <v>1737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1737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1737</v>
      </c>
      <c r="B60" t="s">
        <v>89</v>
      </c>
      <c r="C60" t="s">
        <v>73</v>
      </c>
      <c r="D60" t="s">
        <v>33</v>
      </c>
      <c r="F60">
        <v>5</v>
      </c>
      <c r="J60">
        <f t="shared" si="0"/>
        <v>560</v>
      </c>
      <c r="L60">
        <f t="shared" si="1"/>
        <v>0.25</v>
      </c>
    </row>
    <row r="61" spans="1:12" x14ac:dyDescent="0.25">
      <c r="A61">
        <v>1737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1737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1737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1737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1737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1737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1737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1737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1737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1737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1737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1737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1737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1737</v>
      </c>
      <c r="B74" t="s">
        <v>6</v>
      </c>
      <c r="C74" t="s">
        <v>73</v>
      </c>
      <c r="D74" t="s">
        <v>35</v>
      </c>
      <c r="F74">
        <v>3722</v>
      </c>
      <c r="G74">
        <v>2</v>
      </c>
      <c r="H74">
        <v>24</v>
      </c>
      <c r="J74">
        <f t="shared" si="2"/>
        <v>416944</v>
      </c>
      <c r="L74">
        <f t="shared" si="3"/>
        <v>186.13571428571427</v>
      </c>
    </row>
    <row r="75" spans="1:12" x14ac:dyDescent="0.25">
      <c r="A75">
        <v>1737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1737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1737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1737</v>
      </c>
      <c r="B78" t="s">
        <v>8</v>
      </c>
      <c r="C78" t="s">
        <v>73</v>
      </c>
      <c r="D78" t="s">
        <v>35</v>
      </c>
      <c r="F78">
        <v>52</v>
      </c>
      <c r="G78">
        <v>1</v>
      </c>
      <c r="H78">
        <v>6</v>
      </c>
      <c r="J78">
        <f t="shared" si="2"/>
        <v>5858</v>
      </c>
      <c r="L78">
        <f t="shared" si="3"/>
        <v>2.6151785714285714</v>
      </c>
    </row>
    <row r="79" spans="1:12" x14ac:dyDescent="0.25">
      <c r="A79">
        <v>1737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1737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1737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1737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1737</v>
      </c>
      <c r="B83" t="s">
        <v>9</v>
      </c>
      <c r="C83" t="s">
        <v>73</v>
      </c>
      <c r="D83" t="s">
        <v>35</v>
      </c>
      <c r="H83">
        <f>74*200+74</f>
        <v>14874</v>
      </c>
      <c r="I83" t="s">
        <v>152</v>
      </c>
      <c r="J83">
        <f t="shared" si="2"/>
        <v>14874</v>
      </c>
      <c r="L83">
        <f t="shared" si="3"/>
        <v>6.6401785714285717</v>
      </c>
    </row>
    <row r="84" spans="1:12" x14ac:dyDescent="0.25">
      <c r="A84">
        <v>1737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1737</v>
      </c>
      <c r="B85" t="s">
        <v>11</v>
      </c>
      <c r="C85" t="s">
        <v>73</v>
      </c>
      <c r="D85" t="s">
        <v>35</v>
      </c>
      <c r="F85">
        <v>28</v>
      </c>
      <c r="G85">
        <v>1</v>
      </c>
      <c r="H85">
        <v>6</v>
      </c>
      <c r="J85">
        <f t="shared" si="2"/>
        <v>3170</v>
      </c>
      <c r="L85">
        <f t="shared" si="3"/>
        <v>1.4151785714285714</v>
      </c>
    </row>
    <row r="86" spans="1:12" x14ac:dyDescent="0.25">
      <c r="A86">
        <v>1737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1737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1737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1737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1737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1737</v>
      </c>
      <c r="B91" t="s">
        <v>12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1737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1737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1737</v>
      </c>
      <c r="B94" t="s">
        <v>13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1737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1737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1737</v>
      </c>
      <c r="B97" t="s">
        <v>27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1737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1737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1737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1737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1737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1737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1737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1737</v>
      </c>
      <c r="B105" t="s">
        <v>18</v>
      </c>
      <c r="C105" t="s">
        <v>73</v>
      </c>
      <c r="D105" t="s">
        <v>35</v>
      </c>
      <c r="H105">
        <v>270</v>
      </c>
      <c r="I105" t="s">
        <v>151</v>
      </c>
      <c r="J105">
        <f t="shared" si="2"/>
        <v>270</v>
      </c>
      <c r="L105">
        <f t="shared" si="3"/>
        <v>0.12053571428571429</v>
      </c>
    </row>
    <row r="106" spans="1:12" x14ac:dyDescent="0.25">
      <c r="A106">
        <v>1737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1737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1737</v>
      </c>
      <c r="B108" t="s">
        <v>19</v>
      </c>
      <c r="C108" t="s">
        <v>73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1737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1737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1737</v>
      </c>
      <c r="B111" t="s">
        <v>54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1737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1737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1737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1737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1737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1737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1737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1737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1737</v>
      </c>
      <c r="B120" t="s">
        <v>62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1737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1737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1737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1737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1737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1737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8"/>
  <sheetViews>
    <sheetView topLeftCell="A106" workbookViewId="0">
      <selection activeCell="H108" sqref="H108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1737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1737</v>
      </c>
      <c r="B3" t="s">
        <v>57</v>
      </c>
      <c r="C3" t="s">
        <v>74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1737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1737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1737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1737</v>
      </c>
      <c r="B7" t="s">
        <v>132</v>
      </c>
      <c r="C7" t="s">
        <v>74</v>
      </c>
      <c r="D7" t="s">
        <v>33</v>
      </c>
      <c r="F7">
        <v>4</v>
      </c>
      <c r="J7">
        <f t="shared" si="0"/>
        <v>448</v>
      </c>
      <c r="L7">
        <f t="shared" si="1"/>
        <v>0.2</v>
      </c>
    </row>
    <row r="8" spans="1:15" x14ac:dyDescent="0.25">
      <c r="A8">
        <v>1737</v>
      </c>
      <c r="B8" t="s">
        <v>69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1737</v>
      </c>
      <c r="B9" t="s">
        <v>43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1737</v>
      </c>
      <c r="B10" t="s">
        <v>76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1737</v>
      </c>
      <c r="B11" t="s">
        <v>5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1737</v>
      </c>
      <c r="B12" t="s">
        <v>59</v>
      </c>
      <c r="C12" t="s">
        <v>74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1737</v>
      </c>
      <c r="B13" t="s">
        <v>6</v>
      </c>
      <c r="C13" t="s">
        <v>74</v>
      </c>
      <c r="D13" t="s">
        <v>33</v>
      </c>
      <c r="F13">
        <v>87499</v>
      </c>
      <c r="G13">
        <v>3</v>
      </c>
      <c r="H13">
        <v>26</v>
      </c>
      <c r="J13">
        <f t="shared" si="0"/>
        <v>9799998</v>
      </c>
      <c r="L13">
        <f t="shared" si="1"/>
        <v>4374.9991071428567</v>
      </c>
    </row>
    <row r="14" spans="1:15" x14ac:dyDescent="0.25">
      <c r="A14">
        <v>1737</v>
      </c>
      <c r="B14" t="s">
        <v>96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1737</v>
      </c>
      <c r="B15" t="s">
        <v>60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1737</v>
      </c>
      <c r="B16" t="s">
        <v>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1737</v>
      </c>
      <c r="B17" t="s">
        <v>37</v>
      </c>
      <c r="C17" t="s">
        <v>74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1737</v>
      </c>
      <c r="B18" t="s">
        <v>8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1737</v>
      </c>
      <c r="B19" t="s">
        <v>40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1737</v>
      </c>
      <c r="B20" t="s">
        <v>77</v>
      </c>
      <c r="C20" t="s">
        <v>74</v>
      </c>
      <c r="D20" t="s">
        <v>33</v>
      </c>
      <c r="F20">
        <v>17</v>
      </c>
      <c r="G20">
        <v>1</v>
      </c>
      <c r="H20">
        <v>1</v>
      </c>
      <c r="J20">
        <f t="shared" si="0"/>
        <v>1933</v>
      </c>
      <c r="L20">
        <f t="shared" si="1"/>
        <v>0.86294642857142856</v>
      </c>
    </row>
    <row r="21" spans="1:12" x14ac:dyDescent="0.25">
      <c r="A21">
        <v>1737</v>
      </c>
      <c r="B21" t="s">
        <v>78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1737</v>
      </c>
      <c r="B22" t="s">
        <v>46</v>
      </c>
      <c r="C22" t="s">
        <v>74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1737</v>
      </c>
      <c r="B23" t="s">
        <v>9</v>
      </c>
      <c r="C23" t="s">
        <v>74</v>
      </c>
      <c r="D23" t="s">
        <v>33</v>
      </c>
      <c r="H23">
        <f>422*200+58</f>
        <v>84458</v>
      </c>
      <c r="I23" t="s">
        <v>136</v>
      </c>
      <c r="J23">
        <f t="shared" si="0"/>
        <v>84458</v>
      </c>
      <c r="L23">
        <f t="shared" si="1"/>
        <v>37.704464285714288</v>
      </c>
    </row>
    <row r="24" spans="1:12" x14ac:dyDescent="0.25">
      <c r="A24">
        <v>1737</v>
      </c>
      <c r="B24" t="s">
        <v>10</v>
      </c>
      <c r="C24" t="s">
        <v>74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1737</v>
      </c>
      <c r="B25" t="s">
        <v>11</v>
      </c>
      <c r="C25" t="s">
        <v>74</v>
      </c>
      <c r="D25" t="s">
        <v>33</v>
      </c>
      <c r="F25">
        <v>169</v>
      </c>
      <c r="G25">
        <v>1</v>
      </c>
      <c r="H25">
        <v>27</v>
      </c>
      <c r="J25">
        <f t="shared" si="0"/>
        <v>18983</v>
      </c>
      <c r="L25">
        <f t="shared" si="1"/>
        <v>8.4745535714285722</v>
      </c>
    </row>
    <row r="26" spans="1:12" x14ac:dyDescent="0.25">
      <c r="A26">
        <v>1737</v>
      </c>
      <c r="B26" t="s">
        <v>39</v>
      </c>
      <c r="C26" t="s">
        <v>74</v>
      </c>
      <c r="D26" t="s">
        <v>33</v>
      </c>
      <c r="H26">
        <v>555</v>
      </c>
      <c r="J26">
        <f t="shared" si="0"/>
        <v>555</v>
      </c>
      <c r="L26">
        <f t="shared" si="1"/>
        <v>0.24776785714285715</v>
      </c>
    </row>
    <row r="27" spans="1:12" x14ac:dyDescent="0.25">
      <c r="A27">
        <v>1737</v>
      </c>
      <c r="B27" t="s">
        <v>79</v>
      </c>
      <c r="C27" t="s">
        <v>74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1737</v>
      </c>
      <c r="B28" t="s">
        <v>103</v>
      </c>
      <c r="C28" t="s">
        <v>74</v>
      </c>
      <c r="D28" t="s">
        <v>33</v>
      </c>
      <c r="H28">
        <v>201</v>
      </c>
      <c r="J28">
        <f t="shared" si="0"/>
        <v>201</v>
      </c>
      <c r="L28">
        <f t="shared" si="1"/>
        <v>8.9732142857142858E-2</v>
      </c>
    </row>
    <row r="29" spans="1:12" x14ac:dyDescent="0.25">
      <c r="A29">
        <v>1737</v>
      </c>
      <c r="B29" t="s">
        <v>44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1737</v>
      </c>
      <c r="B30" t="s">
        <v>97</v>
      </c>
      <c r="C30" t="s">
        <v>74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1737</v>
      </c>
      <c r="B31" t="s">
        <v>12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1737</v>
      </c>
      <c r="B32" t="s">
        <v>82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1737</v>
      </c>
      <c r="B33" t="s">
        <v>34</v>
      </c>
      <c r="C33" t="s">
        <v>74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1737</v>
      </c>
      <c r="B34" t="s">
        <v>13</v>
      </c>
      <c r="C34" t="s">
        <v>74</v>
      </c>
      <c r="D34" t="s">
        <v>33</v>
      </c>
      <c r="E34">
        <v>40</v>
      </c>
      <c r="J34">
        <f t="shared" si="0"/>
        <v>89600</v>
      </c>
      <c r="L34">
        <f t="shared" si="1"/>
        <v>40</v>
      </c>
    </row>
    <row r="35" spans="1:12" x14ac:dyDescent="0.25">
      <c r="A35">
        <v>1737</v>
      </c>
      <c r="B35" t="s">
        <v>14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1737</v>
      </c>
      <c r="B36" t="s">
        <v>23</v>
      </c>
      <c r="C36" t="s">
        <v>74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1737</v>
      </c>
      <c r="B37" t="s">
        <v>27</v>
      </c>
      <c r="C37" t="s">
        <v>74</v>
      </c>
      <c r="D37" t="s">
        <v>33</v>
      </c>
      <c r="H37">
        <v>291405</v>
      </c>
      <c r="I37" t="s">
        <v>135</v>
      </c>
      <c r="J37">
        <f t="shared" si="0"/>
        <v>291405</v>
      </c>
      <c r="L37">
        <f t="shared" si="1"/>
        <v>130.09151785714286</v>
      </c>
    </row>
    <row r="38" spans="1:12" x14ac:dyDescent="0.25">
      <c r="A38">
        <v>1737</v>
      </c>
      <c r="B38" t="s">
        <v>15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1737</v>
      </c>
      <c r="B39" t="s">
        <v>42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1737</v>
      </c>
      <c r="B40" t="s">
        <v>83</v>
      </c>
      <c r="C40" t="s">
        <v>74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1737</v>
      </c>
      <c r="B41" t="s">
        <v>47</v>
      </c>
      <c r="C41" t="s">
        <v>74</v>
      </c>
      <c r="D41" t="s">
        <v>33</v>
      </c>
      <c r="H41">
        <v>30</v>
      </c>
      <c r="I41" t="s">
        <v>133</v>
      </c>
      <c r="J41">
        <f t="shared" si="0"/>
        <v>30</v>
      </c>
      <c r="L41">
        <f t="shared" si="1"/>
        <v>1.3392857142857142E-2</v>
      </c>
    </row>
    <row r="42" spans="1:12" x14ac:dyDescent="0.25">
      <c r="A42">
        <v>1737</v>
      </c>
      <c r="B42" t="s">
        <v>16</v>
      </c>
      <c r="C42" t="s">
        <v>74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1737</v>
      </c>
      <c r="B43" t="s">
        <v>17</v>
      </c>
      <c r="C43" t="s">
        <v>74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1737</v>
      </c>
      <c r="B44" t="s">
        <v>18</v>
      </c>
      <c r="C44" t="s">
        <v>74</v>
      </c>
      <c r="D44" t="s">
        <v>33</v>
      </c>
      <c r="H44">
        <v>24166</v>
      </c>
      <c r="I44" t="s">
        <v>134</v>
      </c>
      <c r="J44">
        <f t="shared" si="0"/>
        <v>24166</v>
      </c>
      <c r="L44">
        <f t="shared" si="1"/>
        <v>10.788392857142858</v>
      </c>
    </row>
    <row r="45" spans="1:12" x14ac:dyDescent="0.25">
      <c r="A45">
        <v>1737</v>
      </c>
      <c r="B45" t="s">
        <v>26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1737</v>
      </c>
      <c r="B46" t="s">
        <v>84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1737</v>
      </c>
      <c r="B47" t="s">
        <v>19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1737</v>
      </c>
      <c r="B48" t="s">
        <v>45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1737</v>
      </c>
      <c r="B49" t="s">
        <v>85</v>
      </c>
      <c r="C49" t="s">
        <v>74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1737</v>
      </c>
      <c r="B50" t="s">
        <v>54</v>
      </c>
      <c r="C50" t="s">
        <v>74</v>
      </c>
      <c r="D50" t="s">
        <v>33</v>
      </c>
      <c r="H50">
        <v>290</v>
      </c>
      <c r="J50">
        <f t="shared" si="0"/>
        <v>290</v>
      </c>
      <c r="L50">
        <f t="shared" si="1"/>
        <v>0.12946428571428573</v>
      </c>
    </row>
    <row r="51" spans="1:12" x14ac:dyDescent="0.25">
      <c r="A51">
        <v>1737</v>
      </c>
      <c r="B51" t="s">
        <v>95</v>
      </c>
      <c r="C51" t="s">
        <v>74</v>
      </c>
      <c r="D51" t="s">
        <v>33</v>
      </c>
      <c r="H51">
        <v>47</v>
      </c>
      <c r="J51">
        <f t="shared" si="0"/>
        <v>47</v>
      </c>
      <c r="L51">
        <f t="shared" si="1"/>
        <v>2.0982142857142855E-2</v>
      </c>
    </row>
    <row r="52" spans="1:12" x14ac:dyDescent="0.25">
      <c r="A52">
        <v>1737</v>
      </c>
      <c r="B52" t="s">
        <v>20</v>
      </c>
      <c r="C52" t="s">
        <v>74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1737</v>
      </c>
      <c r="B53" t="s">
        <v>21</v>
      </c>
      <c r="C53" t="s">
        <v>74</v>
      </c>
      <c r="D53" t="s">
        <v>33</v>
      </c>
      <c r="H53">
        <v>13</v>
      </c>
      <c r="J53">
        <f t="shared" si="0"/>
        <v>13</v>
      </c>
      <c r="L53">
        <f t="shared" si="1"/>
        <v>5.8035714285714288E-3</v>
      </c>
    </row>
    <row r="54" spans="1:12" x14ac:dyDescent="0.25">
      <c r="A54">
        <v>1737</v>
      </c>
      <c r="B54" t="s">
        <v>90</v>
      </c>
      <c r="C54" t="s">
        <v>74</v>
      </c>
      <c r="D54" t="s">
        <v>33</v>
      </c>
      <c r="F54">
        <v>1</v>
      </c>
      <c r="G54">
        <v>2</v>
      </c>
      <c r="J54">
        <f t="shared" si="0"/>
        <v>168</v>
      </c>
      <c r="L54">
        <f t="shared" si="1"/>
        <v>7.4999999999999997E-2</v>
      </c>
    </row>
    <row r="55" spans="1:12" x14ac:dyDescent="0.25">
      <c r="A55">
        <v>1737</v>
      </c>
      <c r="B55" t="s">
        <v>22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1737</v>
      </c>
      <c r="B56" t="s">
        <v>61</v>
      </c>
      <c r="C56" t="s">
        <v>74</v>
      </c>
      <c r="D56" t="s">
        <v>33</v>
      </c>
      <c r="E56">
        <v>5</v>
      </c>
      <c r="J56">
        <f t="shared" si="0"/>
        <v>11200</v>
      </c>
      <c r="L56">
        <f t="shared" si="1"/>
        <v>5</v>
      </c>
    </row>
    <row r="57" spans="1:12" x14ac:dyDescent="0.25">
      <c r="A57">
        <v>1737</v>
      </c>
      <c r="B57" t="s">
        <v>99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1737</v>
      </c>
      <c r="B58" t="s">
        <v>87</v>
      </c>
      <c r="C58" t="s">
        <v>74</v>
      </c>
      <c r="D58" t="s">
        <v>33</v>
      </c>
      <c r="E58">
        <v>62</v>
      </c>
      <c r="J58">
        <f t="shared" si="0"/>
        <v>138880</v>
      </c>
      <c r="L58">
        <f t="shared" si="1"/>
        <v>62</v>
      </c>
    </row>
    <row r="59" spans="1:12" x14ac:dyDescent="0.25">
      <c r="A59">
        <v>1737</v>
      </c>
      <c r="B59" t="s">
        <v>62</v>
      </c>
      <c r="C59" t="s">
        <v>74</v>
      </c>
      <c r="D59" t="s">
        <v>33</v>
      </c>
      <c r="E59">
        <v>233</v>
      </c>
      <c r="F59">
        <v>3</v>
      </c>
      <c r="G59">
        <v>3</v>
      </c>
      <c r="J59">
        <f t="shared" si="0"/>
        <v>522340</v>
      </c>
      <c r="L59">
        <f t="shared" si="1"/>
        <v>233.1875</v>
      </c>
    </row>
    <row r="60" spans="1:12" x14ac:dyDescent="0.25">
      <c r="A60">
        <v>1737</v>
      </c>
      <c r="B60" t="s">
        <v>88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1737</v>
      </c>
      <c r="B61" t="s">
        <v>63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1737</v>
      </c>
      <c r="B62" t="s">
        <v>89</v>
      </c>
      <c r="C62" t="s">
        <v>74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1737</v>
      </c>
      <c r="B63" t="s">
        <v>70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1737</v>
      </c>
      <c r="B64" t="s">
        <v>64</v>
      </c>
      <c r="C64" t="s">
        <v>74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1737</v>
      </c>
      <c r="B65" t="s">
        <v>65</v>
      </c>
      <c r="C65" t="s">
        <v>74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1737</v>
      </c>
      <c r="B66" t="s">
        <v>55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1737</v>
      </c>
      <c r="B67" t="s">
        <v>57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1737</v>
      </c>
      <c r="B68" t="s">
        <v>36</v>
      </c>
      <c r="C68" t="s">
        <v>74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1737</v>
      </c>
      <c r="B69" t="s">
        <v>4</v>
      </c>
      <c r="C69" t="s">
        <v>74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1737</v>
      </c>
      <c r="B70" t="s">
        <v>58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1737</v>
      </c>
      <c r="B71" t="s">
        <v>69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1737</v>
      </c>
      <c r="B72" t="s">
        <v>43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1737</v>
      </c>
      <c r="B73" t="s">
        <v>76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1737</v>
      </c>
      <c r="B74" t="s">
        <v>5</v>
      </c>
      <c r="C74" t="s">
        <v>74</v>
      </c>
      <c r="D74" t="s">
        <v>35</v>
      </c>
      <c r="F74">
        <v>2</v>
      </c>
      <c r="J74">
        <f t="shared" si="2"/>
        <v>224</v>
      </c>
      <c r="L74">
        <f t="shared" si="3"/>
        <v>0.1</v>
      </c>
    </row>
    <row r="75" spans="1:12" x14ac:dyDescent="0.25">
      <c r="A75">
        <v>1737</v>
      </c>
      <c r="B75" t="s">
        <v>59</v>
      </c>
      <c r="C75" t="s">
        <v>74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1737</v>
      </c>
      <c r="B76" t="s">
        <v>6</v>
      </c>
      <c r="C76" t="s">
        <v>74</v>
      </c>
      <c r="D76" t="s">
        <v>35</v>
      </c>
      <c r="F76">
        <v>9707</v>
      </c>
      <c r="H76">
        <v>11</v>
      </c>
      <c r="J76">
        <f t="shared" si="2"/>
        <v>1087195</v>
      </c>
      <c r="L76">
        <f t="shared" si="3"/>
        <v>485.35491071428572</v>
      </c>
    </row>
    <row r="77" spans="1:12" x14ac:dyDescent="0.25">
      <c r="A77">
        <v>1737</v>
      </c>
      <c r="B77" t="s">
        <v>60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1737</v>
      </c>
      <c r="B78" t="s">
        <v>7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1737</v>
      </c>
      <c r="B79" t="s">
        <v>37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1737</v>
      </c>
      <c r="B80" t="s">
        <v>8</v>
      </c>
      <c r="C80" t="s">
        <v>74</v>
      </c>
      <c r="D80" t="s">
        <v>35</v>
      </c>
      <c r="F80">
        <v>34</v>
      </c>
      <c r="H80">
        <v>19</v>
      </c>
      <c r="J80">
        <f t="shared" si="2"/>
        <v>3827</v>
      </c>
      <c r="L80">
        <f t="shared" si="3"/>
        <v>1.7084821428571428</v>
      </c>
    </row>
    <row r="81" spans="1:12" x14ac:dyDescent="0.25">
      <c r="A81">
        <v>1737</v>
      </c>
      <c r="B81" t="s">
        <v>40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1737</v>
      </c>
      <c r="B82" t="s">
        <v>77</v>
      </c>
      <c r="C82" t="s">
        <v>74</v>
      </c>
      <c r="D82" t="s">
        <v>35</v>
      </c>
      <c r="F82">
        <v>3</v>
      </c>
      <c r="H82">
        <v>2</v>
      </c>
      <c r="J82">
        <f t="shared" si="2"/>
        <v>338</v>
      </c>
      <c r="L82">
        <f t="shared" si="3"/>
        <v>0.15089285714285713</v>
      </c>
    </row>
    <row r="83" spans="1:12" x14ac:dyDescent="0.25">
      <c r="A83">
        <v>1737</v>
      </c>
      <c r="B83" t="s">
        <v>78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1737</v>
      </c>
      <c r="B84" t="s">
        <v>46</v>
      </c>
      <c r="C84" t="s">
        <v>74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1737</v>
      </c>
      <c r="B85" t="s">
        <v>9</v>
      </c>
      <c r="C85" t="s">
        <v>74</v>
      </c>
      <c r="D85" t="s">
        <v>35</v>
      </c>
      <c r="H85">
        <f>542*200+180</f>
        <v>108580</v>
      </c>
      <c r="I85" t="s">
        <v>155</v>
      </c>
      <c r="J85">
        <f t="shared" si="2"/>
        <v>108580</v>
      </c>
      <c r="L85">
        <f t="shared" si="3"/>
        <v>48.473214285714285</v>
      </c>
    </row>
    <row r="86" spans="1:12" x14ac:dyDescent="0.25">
      <c r="A86">
        <v>1737</v>
      </c>
      <c r="B86" t="s">
        <v>10</v>
      </c>
      <c r="C86" t="s">
        <v>74</v>
      </c>
      <c r="D86" t="s">
        <v>35</v>
      </c>
      <c r="F86">
        <v>1</v>
      </c>
      <c r="H86">
        <v>23</v>
      </c>
      <c r="J86">
        <f t="shared" si="2"/>
        <v>135</v>
      </c>
      <c r="L86">
        <f t="shared" si="3"/>
        <v>6.0267857142857144E-2</v>
      </c>
    </row>
    <row r="87" spans="1:12" x14ac:dyDescent="0.25">
      <c r="A87">
        <v>1737</v>
      </c>
      <c r="B87" t="s">
        <v>11</v>
      </c>
      <c r="C87" t="s">
        <v>74</v>
      </c>
      <c r="D87" t="s">
        <v>35</v>
      </c>
      <c r="F87">
        <v>151</v>
      </c>
      <c r="G87">
        <v>1</v>
      </c>
      <c r="H87">
        <v>10</v>
      </c>
      <c r="J87">
        <f t="shared" si="2"/>
        <v>16950</v>
      </c>
      <c r="L87">
        <f t="shared" si="3"/>
        <v>7.5669642857142856</v>
      </c>
    </row>
    <row r="88" spans="1:12" x14ac:dyDescent="0.25">
      <c r="A88">
        <v>1737</v>
      </c>
      <c r="B88" t="s">
        <v>39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1737</v>
      </c>
      <c r="B89" t="s">
        <v>79</v>
      </c>
      <c r="C89" t="s">
        <v>74</v>
      </c>
      <c r="D89" t="s">
        <v>35</v>
      </c>
      <c r="H89">
        <v>446</v>
      </c>
      <c r="J89">
        <f t="shared" si="2"/>
        <v>446</v>
      </c>
      <c r="L89">
        <f t="shared" si="3"/>
        <v>0.19910714285714284</v>
      </c>
    </row>
    <row r="90" spans="1:12" x14ac:dyDescent="0.25">
      <c r="A90">
        <v>1737</v>
      </c>
      <c r="B90" t="s">
        <v>103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1737</v>
      </c>
      <c r="B91" t="s">
        <v>44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1737</v>
      </c>
      <c r="B92" t="s">
        <v>97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1737</v>
      </c>
      <c r="B93" t="s">
        <v>12</v>
      </c>
      <c r="C93" t="s">
        <v>74</v>
      </c>
      <c r="D93" t="s">
        <v>35</v>
      </c>
      <c r="H93">
        <v>470</v>
      </c>
      <c r="J93">
        <f t="shared" si="2"/>
        <v>470</v>
      </c>
      <c r="L93">
        <f t="shared" si="3"/>
        <v>0.20982142857142858</v>
      </c>
    </row>
    <row r="94" spans="1:12" x14ac:dyDescent="0.25">
      <c r="A94">
        <v>1737</v>
      </c>
      <c r="B94" t="s">
        <v>82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1737</v>
      </c>
      <c r="B95" t="s">
        <v>34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1737</v>
      </c>
      <c r="B96" t="s">
        <v>13</v>
      </c>
      <c r="C96" t="s">
        <v>74</v>
      </c>
      <c r="D96" t="s">
        <v>35</v>
      </c>
      <c r="E96">
        <v>18</v>
      </c>
      <c r="F96">
        <v>12</v>
      </c>
      <c r="H96">
        <v>13</v>
      </c>
      <c r="J96">
        <f t="shared" si="2"/>
        <v>41677</v>
      </c>
      <c r="L96">
        <f t="shared" si="3"/>
        <v>18.60580357142857</v>
      </c>
    </row>
    <row r="97" spans="1:12" x14ac:dyDescent="0.25">
      <c r="A97">
        <v>1737</v>
      </c>
      <c r="B97" t="s">
        <v>14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1737</v>
      </c>
      <c r="B98" t="s">
        <v>23</v>
      </c>
      <c r="C98" t="s">
        <v>74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1737</v>
      </c>
      <c r="B99" t="s">
        <v>27</v>
      </c>
      <c r="C99" t="s">
        <v>74</v>
      </c>
      <c r="D99" t="s">
        <v>35</v>
      </c>
      <c r="H99">
        <v>5201.5</v>
      </c>
      <c r="I99" t="s">
        <v>154</v>
      </c>
      <c r="J99">
        <f t="shared" si="2"/>
        <v>5201.5</v>
      </c>
      <c r="L99">
        <f t="shared" si="3"/>
        <v>2.3220982142857145</v>
      </c>
    </row>
    <row r="100" spans="1:12" x14ac:dyDescent="0.25">
      <c r="A100">
        <v>1737</v>
      </c>
      <c r="B100" t="s">
        <v>15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1737</v>
      </c>
      <c r="B101" t="s">
        <v>93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1737</v>
      </c>
      <c r="B102" t="s">
        <v>42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1737</v>
      </c>
      <c r="B103" t="s">
        <v>83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1737</v>
      </c>
      <c r="B104" t="s">
        <v>47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1737</v>
      </c>
      <c r="B105" t="s">
        <v>16</v>
      </c>
      <c r="C105" t="s">
        <v>74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1737</v>
      </c>
      <c r="B106" t="s">
        <v>17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1737</v>
      </c>
      <c r="B107" t="s">
        <v>18</v>
      </c>
      <c r="C107" t="s">
        <v>74</v>
      </c>
      <c r="D107" t="s">
        <v>35</v>
      </c>
      <c r="H107">
        <v>14999</v>
      </c>
      <c r="I107" t="s">
        <v>153</v>
      </c>
      <c r="J107">
        <f t="shared" si="2"/>
        <v>14999</v>
      </c>
      <c r="L107">
        <f t="shared" si="3"/>
        <v>6.6959821428571429</v>
      </c>
    </row>
    <row r="108" spans="1:12" x14ac:dyDescent="0.25">
      <c r="A108">
        <v>1737</v>
      </c>
      <c r="B108" t="s">
        <v>26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1737</v>
      </c>
      <c r="B109" t="s">
        <v>84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1737</v>
      </c>
      <c r="B110" t="s">
        <v>19</v>
      </c>
      <c r="C110" t="s">
        <v>74</v>
      </c>
      <c r="D110" t="s">
        <v>35</v>
      </c>
      <c r="F110">
        <v>1</v>
      </c>
      <c r="J110">
        <f t="shared" si="2"/>
        <v>112</v>
      </c>
      <c r="L110">
        <f t="shared" si="3"/>
        <v>0.05</v>
      </c>
    </row>
    <row r="111" spans="1:12" x14ac:dyDescent="0.25">
      <c r="A111">
        <v>1737</v>
      </c>
      <c r="B111" t="s">
        <v>45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1737</v>
      </c>
      <c r="B112" t="s">
        <v>85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1737</v>
      </c>
      <c r="B113" t="s">
        <v>54</v>
      </c>
      <c r="C113" t="s">
        <v>74</v>
      </c>
      <c r="D113" t="s">
        <v>35</v>
      </c>
      <c r="H113">
        <v>24</v>
      </c>
      <c r="J113">
        <f t="shared" si="2"/>
        <v>24</v>
      </c>
      <c r="L113">
        <f t="shared" si="3"/>
        <v>1.0714285714285714E-2</v>
      </c>
    </row>
    <row r="114" spans="1:12" x14ac:dyDescent="0.25">
      <c r="A114">
        <v>1737</v>
      </c>
      <c r="B114" t="s">
        <v>95</v>
      </c>
      <c r="C114" t="s">
        <v>74</v>
      </c>
      <c r="D114" t="s">
        <v>35</v>
      </c>
      <c r="H114">
        <v>43</v>
      </c>
      <c r="J114">
        <f t="shared" si="2"/>
        <v>43</v>
      </c>
      <c r="L114">
        <f t="shared" si="3"/>
        <v>1.9196428571428573E-2</v>
      </c>
    </row>
    <row r="115" spans="1:12" x14ac:dyDescent="0.25">
      <c r="A115">
        <v>1737</v>
      </c>
      <c r="B115" t="s">
        <v>20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1737</v>
      </c>
      <c r="B116" t="s">
        <v>21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1737</v>
      </c>
      <c r="B117" t="s">
        <v>22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1737</v>
      </c>
      <c r="B118" t="s">
        <v>61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1737</v>
      </c>
      <c r="B119" t="s">
        <v>91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1737</v>
      </c>
      <c r="B120" t="s">
        <v>98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1737</v>
      </c>
      <c r="B121" t="s">
        <v>87</v>
      </c>
      <c r="C121" t="s">
        <v>74</v>
      </c>
      <c r="D121" t="s">
        <v>35</v>
      </c>
      <c r="E121">
        <v>10</v>
      </c>
      <c r="F121">
        <v>10</v>
      </c>
      <c r="J121">
        <f t="shared" si="2"/>
        <v>23520</v>
      </c>
      <c r="L121">
        <f t="shared" si="3"/>
        <v>10.5</v>
      </c>
    </row>
    <row r="122" spans="1:12" x14ac:dyDescent="0.25">
      <c r="A122">
        <v>1737</v>
      </c>
      <c r="B122" t="s">
        <v>62</v>
      </c>
      <c r="C122" t="s">
        <v>74</v>
      </c>
      <c r="D122" t="s">
        <v>35</v>
      </c>
      <c r="E122">
        <v>80</v>
      </c>
      <c r="F122">
        <v>19</v>
      </c>
      <c r="G122">
        <v>3</v>
      </c>
      <c r="H122">
        <v>20</v>
      </c>
      <c r="J122">
        <f t="shared" si="2"/>
        <v>181432</v>
      </c>
      <c r="L122">
        <f t="shared" si="3"/>
        <v>80.996428571428567</v>
      </c>
    </row>
    <row r="123" spans="1:12" x14ac:dyDescent="0.25">
      <c r="A123">
        <v>1737</v>
      </c>
      <c r="B123" t="s">
        <v>88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1737</v>
      </c>
      <c r="B124" t="s">
        <v>63</v>
      </c>
      <c r="C124" t="s">
        <v>74</v>
      </c>
      <c r="D124" t="s">
        <v>35</v>
      </c>
      <c r="E124">
        <v>28</v>
      </c>
      <c r="J124">
        <f t="shared" si="2"/>
        <v>62720</v>
      </c>
      <c r="L124">
        <f t="shared" si="3"/>
        <v>28</v>
      </c>
    </row>
    <row r="125" spans="1:12" x14ac:dyDescent="0.25">
      <c r="A125">
        <v>1737</v>
      </c>
      <c r="B125" t="s">
        <v>89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1737</v>
      </c>
      <c r="B126" t="s">
        <v>70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1737</v>
      </c>
      <c r="B127" t="s">
        <v>64</v>
      </c>
      <c r="C127" t="s">
        <v>74</v>
      </c>
      <c r="D127" t="s">
        <v>35</v>
      </c>
      <c r="F127">
        <v>14</v>
      </c>
      <c r="G127">
        <v>2</v>
      </c>
      <c r="H127">
        <v>2</v>
      </c>
      <c r="J127">
        <f t="shared" si="2"/>
        <v>1626</v>
      </c>
      <c r="L127">
        <f t="shared" si="3"/>
        <v>0.72589285714285712</v>
      </c>
    </row>
    <row r="128" spans="1:12" x14ac:dyDescent="0.25">
      <c r="A128">
        <v>1737</v>
      </c>
      <c r="B128" t="s">
        <v>65</v>
      </c>
      <c r="C128" t="s">
        <v>74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8"/>
  <sheetViews>
    <sheetView topLeftCell="A112" workbookViewId="0">
      <selection activeCell="H108" sqref="H108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1737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1737</v>
      </c>
      <c r="B3" t="s">
        <v>57</v>
      </c>
      <c r="C3" t="s">
        <v>100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1737</v>
      </c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1737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1737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1737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1737</v>
      </c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1737</v>
      </c>
      <c r="B9" t="s">
        <v>76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1737</v>
      </c>
      <c r="B10" t="s">
        <v>104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1737</v>
      </c>
      <c r="B11" t="s">
        <v>5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1737</v>
      </c>
      <c r="B12" t="s">
        <v>59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1737</v>
      </c>
      <c r="B13" t="s">
        <v>6</v>
      </c>
      <c r="C13" t="s">
        <v>100</v>
      </c>
      <c r="D13" t="s">
        <v>33</v>
      </c>
      <c r="F13">
        <v>1084</v>
      </c>
      <c r="J13">
        <f t="shared" si="0"/>
        <v>121408</v>
      </c>
      <c r="L13">
        <f t="shared" si="1"/>
        <v>54.2</v>
      </c>
    </row>
    <row r="14" spans="1:15" x14ac:dyDescent="0.25">
      <c r="A14">
        <v>1737</v>
      </c>
      <c r="B14" t="s">
        <v>96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1737</v>
      </c>
      <c r="B15" t="s">
        <v>60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1737</v>
      </c>
      <c r="B16" t="s">
        <v>7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1737</v>
      </c>
      <c r="B17" t="s">
        <v>37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1737</v>
      </c>
      <c r="B18" t="s">
        <v>8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1737</v>
      </c>
      <c r="B19" t="s">
        <v>40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1737</v>
      </c>
      <c r="B20" t="s">
        <v>77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1737</v>
      </c>
      <c r="B21" t="s">
        <v>78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1737</v>
      </c>
      <c r="B22" t="s">
        <v>46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1737</v>
      </c>
      <c r="B23" t="s">
        <v>9</v>
      </c>
      <c r="C23" t="s">
        <v>100</v>
      </c>
      <c r="D23" t="s">
        <v>33</v>
      </c>
      <c r="H23">
        <f>2*200</f>
        <v>400</v>
      </c>
      <c r="I23" t="s">
        <v>138</v>
      </c>
      <c r="J23">
        <f t="shared" si="0"/>
        <v>400</v>
      </c>
      <c r="L23">
        <f t="shared" si="1"/>
        <v>0.17857142857142858</v>
      </c>
    </row>
    <row r="24" spans="1:12" x14ac:dyDescent="0.25">
      <c r="A24">
        <v>1737</v>
      </c>
      <c r="B24" t="s">
        <v>10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1737</v>
      </c>
      <c r="B25" t="s">
        <v>11</v>
      </c>
      <c r="C25" t="s">
        <v>100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1737</v>
      </c>
      <c r="B26" t="s">
        <v>39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1737</v>
      </c>
      <c r="B27" t="s">
        <v>79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1737</v>
      </c>
      <c r="B28" t="s">
        <v>103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1737</v>
      </c>
      <c r="B29" t="s">
        <v>44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1737</v>
      </c>
      <c r="B30" t="s">
        <v>97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1737</v>
      </c>
      <c r="B31" t="s">
        <v>12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1737</v>
      </c>
      <c r="B32" t="s">
        <v>82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1737</v>
      </c>
      <c r="B33" t="s">
        <v>34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1737</v>
      </c>
      <c r="B34" t="s">
        <v>13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1737</v>
      </c>
      <c r="B35" t="s">
        <v>14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1737</v>
      </c>
      <c r="B36" t="s">
        <v>23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1737</v>
      </c>
      <c r="B37" t="s">
        <v>27</v>
      </c>
      <c r="C37" t="s">
        <v>100</v>
      </c>
      <c r="D37" t="s">
        <v>33</v>
      </c>
      <c r="H37">
        <v>1110</v>
      </c>
      <c r="I37" t="s">
        <v>137</v>
      </c>
      <c r="J37">
        <f t="shared" si="0"/>
        <v>1110</v>
      </c>
      <c r="L37">
        <f t="shared" si="1"/>
        <v>0.4955357142857143</v>
      </c>
    </row>
    <row r="38" spans="1:12" x14ac:dyDescent="0.25">
      <c r="A38">
        <v>1737</v>
      </c>
      <c r="B38" t="s">
        <v>15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1737</v>
      </c>
      <c r="B39" t="s">
        <v>42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1737</v>
      </c>
      <c r="B40" t="s">
        <v>83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1737</v>
      </c>
      <c r="B41" t="s">
        <v>47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1737</v>
      </c>
      <c r="B42" t="s">
        <v>16</v>
      </c>
      <c r="C42" t="s">
        <v>100</v>
      </c>
      <c r="D42" t="s">
        <v>33</v>
      </c>
      <c r="H42">
        <v>5500</v>
      </c>
      <c r="J42">
        <f t="shared" si="0"/>
        <v>5500</v>
      </c>
      <c r="L42">
        <f t="shared" si="1"/>
        <v>2.4553571428571428</v>
      </c>
    </row>
    <row r="43" spans="1:12" x14ac:dyDescent="0.25">
      <c r="A43">
        <v>1737</v>
      </c>
      <c r="B43" t="s">
        <v>17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1737</v>
      </c>
      <c r="B44" t="s">
        <v>18</v>
      </c>
      <c r="C44" t="s">
        <v>100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1737</v>
      </c>
      <c r="B45" t="s">
        <v>26</v>
      </c>
      <c r="C45" t="s">
        <v>100</v>
      </c>
      <c r="D45" t="s">
        <v>33</v>
      </c>
      <c r="H45">
        <v>3500</v>
      </c>
      <c r="J45">
        <f t="shared" si="0"/>
        <v>3500</v>
      </c>
      <c r="L45">
        <f t="shared" si="1"/>
        <v>1.5625</v>
      </c>
    </row>
    <row r="46" spans="1:12" x14ac:dyDescent="0.25">
      <c r="A46">
        <v>1737</v>
      </c>
      <c r="B46" t="s">
        <v>84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1737</v>
      </c>
      <c r="B47" t="s">
        <v>19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1737</v>
      </c>
      <c r="B48" t="s">
        <v>45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1737</v>
      </c>
      <c r="B49" t="s">
        <v>85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1737</v>
      </c>
      <c r="B50" t="s">
        <v>54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1737</v>
      </c>
      <c r="B51" t="s">
        <v>95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1737</v>
      </c>
      <c r="B52" t="s">
        <v>20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1737</v>
      </c>
      <c r="B53" t="s">
        <v>21</v>
      </c>
      <c r="C53" t="s">
        <v>100</v>
      </c>
      <c r="D53" t="s">
        <v>33</v>
      </c>
      <c r="H53">
        <v>232</v>
      </c>
      <c r="J53">
        <f t="shared" si="0"/>
        <v>232</v>
      </c>
      <c r="L53">
        <f t="shared" si="1"/>
        <v>0.10357142857142858</v>
      </c>
    </row>
    <row r="54" spans="1:12" x14ac:dyDescent="0.25">
      <c r="A54">
        <v>1737</v>
      </c>
      <c r="B54" t="s">
        <v>90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1737</v>
      </c>
      <c r="B55" t="s">
        <v>22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1737</v>
      </c>
      <c r="B56" t="s">
        <v>61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1737</v>
      </c>
      <c r="B57" t="s">
        <v>98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1737</v>
      </c>
      <c r="B58" t="s">
        <v>87</v>
      </c>
      <c r="C58" t="s">
        <v>100</v>
      </c>
      <c r="D58" t="s">
        <v>33</v>
      </c>
      <c r="E58">
        <v>2</v>
      </c>
      <c r="F58">
        <v>7</v>
      </c>
      <c r="H58">
        <v>21</v>
      </c>
      <c r="J58">
        <f t="shared" si="0"/>
        <v>5285</v>
      </c>
      <c r="L58">
        <f t="shared" si="1"/>
        <v>2.359375</v>
      </c>
    </row>
    <row r="59" spans="1:12" x14ac:dyDescent="0.25">
      <c r="A59">
        <v>1737</v>
      </c>
      <c r="B59" t="s">
        <v>62</v>
      </c>
      <c r="C59" t="s">
        <v>100</v>
      </c>
      <c r="D59" t="s">
        <v>33</v>
      </c>
      <c r="E59">
        <v>14</v>
      </c>
      <c r="J59">
        <f t="shared" si="0"/>
        <v>31360</v>
      </c>
      <c r="L59">
        <f t="shared" si="1"/>
        <v>14</v>
      </c>
    </row>
    <row r="60" spans="1:12" x14ac:dyDescent="0.25">
      <c r="A60">
        <v>1737</v>
      </c>
      <c r="B60" t="s">
        <v>88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1737</v>
      </c>
      <c r="B61" t="s">
        <v>63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1737</v>
      </c>
      <c r="B62" t="s">
        <v>89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1737</v>
      </c>
      <c r="B63" t="s">
        <v>70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1737</v>
      </c>
      <c r="B64" t="s">
        <v>64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1737</v>
      </c>
      <c r="B65" t="s">
        <v>65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1737</v>
      </c>
      <c r="B66" t="s">
        <v>55</v>
      </c>
      <c r="C66" t="s">
        <v>100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1737</v>
      </c>
      <c r="B67" t="s">
        <v>57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1737</v>
      </c>
      <c r="B68" t="s">
        <v>36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1737</v>
      </c>
      <c r="B69" t="s">
        <v>4</v>
      </c>
      <c r="C69" t="s">
        <v>100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1737</v>
      </c>
      <c r="B70" t="s">
        <v>58</v>
      </c>
      <c r="C70" t="s">
        <v>100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1737</v>
      </c>
      <c r="B71" t="s">
        <v>69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1737</v>
      </c>
      <c r="B72" t="s">
        <v>43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1737</v>
      </c>
      <c r="B73" t="s">
        <v>76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1737</v>
      </c>
      <c r="B74" t="s">
        <v>5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1737</v>
      </c>
      <c r="B75" t="s">
        <v>59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1737</v>
      </c>
      <c r="B76" t="s">
        <v>6</v>
      </c>
      <c r="C76" t="s">
        <v>100</v>
      </c>
      <c r="D76" t="s">
        <v>35</v>
      </c>
      <c r="F76">
        <v>2947</v>
      </c>
      <c r="H76">
        <v>25</v>
      </c>
      <c r="J76">
        <f t="shared" si="2"/>
        <v>330089</v>
      </c>
      <c r="L76">
        <f t="shared" si="3"/>
        <v>147.36116071428572</v>
      </c>
    </row>
    <row r="77" spans="1:12" x14ac:dyDescent="0.25">
      <c r="A77">
        <v>1737</v>
      </c>
      <c r="B77" t="s">
        <v>60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1737</v>
      </c>
      <c r="B78" t="s">
        <v>7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1737</v>
      </c>
      <c r="B79" t="s">
        <v>37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1737</v>
      </c>
      <c r="B80" t="s">
        <v>8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1737</v>
      </c>
      <c r="B81" t="s">
        <v>40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1737</v>
      </c>
      <c r="B82" t="s">
        <v>77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1737</v>
      </c>
      <c r="B83" t="s">
        <v>78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1737</v>
      </c>
      <c r="B84" t="s">
        <v>46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1737</v>
      </c>
      <c r="B85" t="s">
        <v>9</v>
      </c>
      <c r="C85" t="s">
        <v>100</v>
      </c>
      <c r="D85" t="s">
        <v>35</v>
      </c>
      <c r="H85">
        <f>71*200+30</f>
        <v>14230</v>
      </c>
      <c r="I85" t="s">
        <v>157</v>
      </c>
      <c r="J85">
        <f t="shared" si="2"/>
        <v>14230</v>
      </c>
      <c r="L85">
        <f t="shared" si="3"/>
        <v>6.3526785714285712</v>
      </c>
    </row>
    <row r="86" spans="1:12" x14ac:dyDescent="0.25">
      <c r="A86">
        <v>1737</v>
      </c>
      <c r="B86" t="s">
        <v>10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1737</v>
      </c>
      <c r="B87" t="s">
        <v>11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1737</v>
      </c>
      <c r="B88" t="s">
        <v>39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1737</v>
      </c>
      <c r="B89" t="s">
        <v>79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1737</v>
      </c>
      <c r="B90" t="s">
        <v>103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1737</v>
      </c>
      <c r="B91" t="s">
        <v>44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1737</v>
      </c>
      <c r="B92" t="s">
        <v>97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1737</v>
      </c>
      <c r="B93" t="s">
        <v>12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1737</v>
      </c>
      <c r="B94" t="s">
        <v>82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1737</v>
      </c>
      <c r="B95" t="s">
        <v>34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1737</v>
      </c>
      <c r="B96" t="s">
        <v>13</v>
      </c>
      <c r="C96" t="s">
        <v>100</v>
      </c>
      <c r="D96" t="s">
        <v>35</v>
      </c>
      <c r="E96">
        <v>14</v>
      </c>
      <c r="F96">
        <v>16</v>
      </c>
      <c r="H96">
        <v>15</v>
      </c>
      <c r="J96">
        <f t="shared" si="2"/>
        <v>33167</v>
      </c>
      <c r="L96">
        <f t="shared" si="3"/>
        <v>14.806696428571428</v>
      </c>
    </row>
    <row r="97" spans="1:12" x14ac:dyDescent="0.25">
      <c r="A97">
        <v>1737</v>
      </c>
      <c r="B97" t="s">
        <v>14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1737</v>
      </c>
      <c r="B98" t="s">
        <v>23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1737</v>
      </c>
      <c r="B99" t="s">
        <v>27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1737</v>
      </c>
      <c r="B100" t="s">
        <v>15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1737</v>
      </c>
      <c r="B101" t="s">
        <v>93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1737</v>
      </c>
      <c r="B102" t="s">
        <v>42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1737</v>
      </c>
      <c r="B103" t="s">
        <v>83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1737</v>
      </c>
      <c r="B104" t="s">
        <v>47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1737</v>
      </c>
      <c r="B105" t="s">
        <v>16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1737</v>
      </c>
      <c r="B106" t="s">
        <v>17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1737</v>
      </c>
      <c r="B107" t="s">
        <v>18</v>
      </c>
      <c r="C107" t="s">
        <v>100</v>
      </c>
      <c r="D107" t="s">
        <v>35</v>
      </c>
      <c r="H107">
        <v>1470.5</v>
      </c>
      <c r="I107" t="s">
        <v>156</v>
      </c>
      <c r="J107">
        <f t="shared" si="2"/>
        <v>1470.5</v>
      </c>
      <c r="L107">
        <f t="shared" si="3"/>
        <v>0.65647321428571426</v>
      </c>
    </row>
    <row r="108" spans="1:12" x14ac:dyDescent="0.25">
      <c r="A108">
        <v>1737</v>
      </c>
      <c r="B108" t="s">
        <v>26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1737</v>
      </c>
      <c r="B109" t="s">
        <v>84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1737</v>
      </c>
      <c r="B110" t="s">
        <v>19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1737</v>
      </c>
      <c r="B111" t="s">
        <v>45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1737</v>
      </c>
      <c r="B112" t="s">
        <v>85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1737</v>
      </c>
      <c r="B113" t="s">
        <v>54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1737</v>
      </c>
      <c r="B114" t="s">
        <v>95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1737</v>
      </c>
      <c r="B115" t="s">
        <v>20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1737</v>
      </c>
      <c r="B116" t="s">
        <v>21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1737</v>
      </c>
      <c r="B117" t="s">
        <v>22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1737</v>
      </c>
      <c r="B118" t="s">
        <v>61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1737</v>
      </c>
      <c r="B119" t="s">
        <v>91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1737</v>
      </c>
      <c r="B120" t="s">
        <v>98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1737</v>
      </c>
      <c r="B121" t="s">
        <v>87</v>
      </c>
      <c r="C121" t="s">
        <v>100</v>
      </c>
      <c r="D121" t="s">
        <v>35</v>
      </c>
      <c r="F121">
        <v>8</v>
      </c>
      <c r="J121">
        <f t="shared" si="2"/>
        <v>896</v>
      </c>
      <c r="L121">
        <f t="shared" si="3"/>
        <v>0.4</v>
      </c>
    </row>
    <row r="122" spans="1:12" x14ac:dyDescent="0.25">
      <c r="A122">
        <v>1737</v>
      </c>
      <c r="B122" t="s">
        <v>62</v>
      </c>
      <c r="C122" t="s">
        <v>100</v>
      </c>
      <c r="D122" t="s">
        <v>35</v>
      </c>
      <c r="E122">
        <v>50</v>
      </c>
      <c r="J122">
        <f t="shared" si="2"/>
        <v>112000</v>
      </c>
      <c r="L122">
        <f t="shared" si="3"/>
        <v>50</v>
      </c>
    </row>
    <row r="123" spans="1:12" x14ac:dyDescent="0.25">
      <c r="A123">
        <v>1737</v>
      </c>
      <c r="B123" t="s">
        <v>88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1737</v>
      </c>
      <c r="B124" t="s">
        <v>63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1737</v>
      </c>
      <c r="B125" t="s">
        <v>89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1737</v>
      </c>
      <c r="B126" t="s">
        <v>70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1737</v>
      </c>
      <c r="B127" t="s">
        <v>64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1737</v>
      </c>
      <c r="B128" t="s">
        <v>65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2025-04-30T02:45:52Z</dcterms:modified>
</cp:coreProperties>
</file>