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39" documentId="8_{04806162-B140-494D-B38C-C679F78C8BA7}" xr6:coauthVersionLast="47" xr6:coauthVersionMax="47" xr10:uidLastSave="{5E1DAC4E-CAF7-46F1-9BBA-88321E3DE27F}"/>
  <bookViews>
    <workbookView xWindow="-120" yWindow="-120" windowWidth="29040" windowHeight="15840" xr2:uid="{46C17C02-0CB0-4B77-8F2A-154FCCF874E0}"/>
  </bookViews>
  <sheets>
    <sheet name="Master Goods Sheet" sheetId="1" r:id="rId1"/>
    <sheet name="Antigua" sheetId="2" r:id="rId2"/>
    <sheet name="Barbados" sheetId="3" r:id="rId3"/>
    <sheet name="Bermuda" sheetId="4" r:id="rId4"/>
    <sheet name="Jamaica" sheetId="5" r:id="rId5"/>
    <sheet name="Mountserat" sheetId="6" r:id="rId6"/>
    <sheet name="Nevis" sheetId="7" r:id="rId7"/>
    <sheet name="St Kitts" sheetId="8" r:id="rId8"/>
  </sheets>
  <definedNames>
    <definedName name="_xlnm._FilterDatabase" localSheetId="1" hidden="1">Antigua!$A$1:$O$42</definedName>
    <definedName name="_xlnm._FilterDatabase" localSheetId="2" hidden="1">Barbados!$A$1:$L$56</definedName>
    <definedName name="_xlnm._FilterDatabase" localSheetId="4" hidden="1">Jamaica!$A$1:$L$69</definedName>
    <definedName name="_xlnm._FilterDatabase" localSheetId="5" hidden="1">Mountserat!$A$1:$Q$29</definedName>
    <definedName name="_xlnm._FilterDatabase" localSheetId="6" hidden="1">Nevis!$A$1:$P$37</definedName>
    <definedName name="_xlnm._FilterDatabase" localSheetId="7" hidden="1">'St Kitts'!$A$1:$L$19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H6" i="7"/>
  <c r="H6" i="6"/>
  <c r="H13" i="5"/>
  <c r="H10" i="3"/>
  <c r="H6" i="2"/>
  <c r="J6" i="8"/>
  <c r="L6" i="8" s="1"/>
  <c r="J6" i="7"/>
  <c r="L6" i="7" s="1"/>
  <c r="J29" i="6"/>
  <c r="L29" i="6" s="1"/>
  <c r="C3" i="1"/>
  <c r="C4" i="1"/>
  <c r="C5" i="1"/>
  <c r="C7" i="1"/>
  <c r="C9" i="1"/>
  <c r="C26" i="1"/>
  <c r="C27" i="1"/>
  <c r="C28" i="1"/>
  <c r="C30" i="1"/>
  <c r="C2" i="1"/>
  <c r="B3" i="1"/>
  <c r="B4" i="1"/>
  <c r="B5" i="1"/>
  <c r="B9" i="1"/>
  <c r="B28" i="1"/>
  <c r="B29" i="1"/>
  <c r="J18" i="8"/>
  <c r="L18" i="8" s="1"/>
  <c r="J19" i="8"/>
  <c r="L19" i="8" s="1"/>
  <c r="J17" i="8"/>
  <c r="L17" i="8" s="1"/>
  <c r="J14" i="7"/>
  <c r="L14" i="7" s="1"/>
  <c r="J15" i="7"/>
  <c r="L15" i="7" s="1"/>
  <c r="J16" i="7"/>
  <c r="L16" i="7" s="1"/>
  <c r="J17" i="7"/>
  <c r="L17" i="7" s="1"/>
  <c r="B30" i="1" s="1"/>
  <c r="J18" i="7"/>
  <c r="L18" i="7" s="1"/>
  <c r="J19" i="7"/>
  <c r="L19" i="7" s="1"/>
  <c r="J20" i="7"/>
  <c r="L20" i="7" s="1"/>
  <c r="J21" i="7"/>
  <c r="L21" i="7" s="1"/>
  <c r="J22" i="7"/>
  <c r="L22" i="7" s="1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L35" i="7" s="1"/>
  <c r="J36" i="7"/>
  <c r="L36" i="7" s="1"/>
  <c r="J37" i="7"/>
  <c r="L37" i="7" s="1"/>
  <c r="J41" i="5"/>
  <c r="L41" i="5" s="1"/>
  <c r="J42" i="5"/>
  <c r="L42" i="5" s="1"/>
  <c r="J43" i="5"/>
  <c r="L43" i="5" s="1"/>
  <c r="J44" i="5"/>
  <c r="L44" i="5" s="1"/>
  <c r="J45" i="5"/>
  <c r="L45" i="5" s="1"/>
  <c r="L14" i="2"/>
  <c r="J22" i="2"/>
  <c r="L22" i="2" s="1"/>
  <c r="J9" i="2"/>
  <c r="L9" i="2" s="1"/>
  <c r="J10" i="2"/>
  <c r="L10" i="2" s="1"/>
  <c r="J11" i="2"/>
  <c r="L11" i="2" s="1"/>
  <c r="J12" i="2"/>
  <c r="L12" i="2" s="1"/>
  <c r="J23" i="2"/>
  <c r="L23" i="2" s="1"/>
  <c r="J13" i="2"/>
  <c r="L13" i="2" s="1"/>
  <c r="J14" i="2"/>
  <c r="J24" i="2"/>
  <c r="L24" i="2" s="1"/>
  <c r="J15" i="2"/>
  <c r="L15" i="2" s="1"/>
  <c r="J16" i="2"/>
  <c r="L16" i="2" s="1"/>
  <c r="J7" i="7"/>
  <c r="L7" i="7" s="1"/>
  <c r="J11" i="5"/>
  <c r="L11" i="5" s="1"/>
  <c r="J12" i="5"/>
  <c r="L12" i="5" s="1"/>
  <c r="J13" i="5"/>
  <c r="L13" i="5" s="1"/>
  <c r="J40" i="5"/>
  <c r="L40" i="5" s="1"/>
  <c r="J14" i="5"/>
  <c r="L14" i="5" s="1"/>
  <c r="J15" i="5"/>
  <c r="L15" i="5" s="1"/>
  <c r="J36" i="5"/>
  <c r="L36" i="5" s="1"/>
  <c r="J16" i="5"/>
  <c r="L16" i="5" s="1"/>
  <c r="J17" i="5"/>
  <c r="L17" i="5" s="1"/>
  <c r="J18" i="5"/>
  <c r="L18" i="5" s="1"/>
  <c r="J19" i="5"/>
  <c r="L19" i="5" s="1"/>
  <c r="J20" i="5"/>
  <c r="L20" i="5" s="1"/>
  <c r="J37" i="5"/>
  <c r="L37" i="5" s="1"/>
  <c r="J21" i="5"/>
  <c r="L21" i="5" s="1"/>
  <c r="J22" i="5"/>
  <c r="L22" i="5" s="1"/>
  <c r="J38" i="5"/>
  <c r="L38" i="5" s="1"/>
  <c r="J23" i="5"/>
  <c r="L23" i="5" s="1"/>
  <c r="J39" i="5"/>
  <c r="L39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6" i="5"/>
  <c r="L6" i="5" s="1"/>
  <c r="J7" i="5"/>
  <c r="L7" i="5" s="1"/>
  <c r="J8" i="5"/>
  <c r="L8" i="5" s="1"/>
  <c r="J9" i="5"/>
  <c r="L9" i="5" s="1"/>
  <c r="J10" i="5"/>
  <c r="L10" i="5" s="1"/>
  <c r="L38" i="3"/>
  <c r="L26" i="3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B26" i="1" s="1"/>
  <c r="J37" i="3"/>
  <c r="L37" i="3" s="1"/>
  <c r="J21" i="3"/>
  <c r="L21" i="3" s="1"/>
  <c r="J22" i="3"/>
  <c r="L22" i="3" s="1"/>
  <c r="J23" i="3"/>
  <c r="L23" i="3" s="1"/>
  <c r="J24" i="3"/>
  <c r="L24" i="3" s="1"/>
  <c r="J25" i="3"/>
  <c r="L25" i="3" s="1"/>
  <c r="J38" i="3"/>
  <c r="J26" i="3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2" i="2"/>
  <c r="L2" i="2" s="1"/>
  <c r="J13" i="8"/>
  <c r="L13" i="8" s="1"/>
  <c r="J12" i="8"/>
  <c r="L12" i="8" s="1"/>
  <c r="J3" i="8"/>
  <c r="L3" i="8" s="1"/>
  <c r="J15" i="8"/>
  <c r="L15" i="8" s="1"/>
  <c r="J14" i="8"/>
  <c r="L14" i="8" s="1"/>
  <c r="J16" i="8"/>
  <c r="L16" i="8" s="1"/>
  <c r="J10" i="8"/>
  <c r="L10" i="8" s="1"/>
  <c r="J7" i="8"/>
  <c r="L7" i="8" s="1"/>
  <c r="J5" i="8"/>
  <c r="L5" i="8" s="1"/>
  <c r="J9" i="8"/>
  <c r="L9" i="8" s="1"/>
  <c r="J4" i="8"/>
  <c r="L4" i="8" s="1"/>
  <c r="J11" i="8"/>
  <c r="L11" i="8" s="1"/>
  <c r="J2" i="8"/>
  <c r="L2" i="8" s="1"/>
  <c r="J8" i="8"/>
  <c r="L8" i="8" s="1"/>
  <c r="J12" i="7"/>
  <c r="L12" i="7" s="1"/>
  <c r="J3" i="7"/>
  <c r="L3" i="7" s="1"/>
  <c r="J4" i="7"/>
  <c r="L4" i="7" s="1"/>
  <c r="J10" i="7"/>
  <c r="L10" i="7" s="1"/>
  <c r="J11" i="7"/>
  <c r="L11" i="7" s="1"/>
  <c r="J9" i="7"/>
  <c r="L9" i="7" s="1"/>
  <c r="J13" i="7"/>
  <c r="L13" i="7" s="1"/>
  <c r="J2" i="7"/>
  <c r="L2" i="7" s="1"/>
  <c r="J5" i="7"/>
  <c r="L5" i="7" s="1"/>
  <c r="J8" i="7"/>
  <c r="L8" i="7" s="1"/>
  <c r="J27" i="6"/>
  <c r="L27" i="6" s="1"/>
  <c r="J22" i="6"/>
  <c r="L22" i="6" s="1"/>
  <c r="J21" i="6"/>
  <c r="L21" i="6" s="1"/>
  <c r="J23" i="6"/>
  <c r="L23" i="6" s="1"/>
  <c r="J28" i="6"/>
  <c r="L28" i="6" s="1"/>
  <c r="J26" i="6"/>
  <c r="L26" i="6" s="1"/>
  <c r="J20" i="6"/>
  <c r="L20" i="6" s="1"/>
  <c r="J25" i="6"/>
  <c r="L25" i="6" s="1"/>
  <c r="J24" i="6"/>
  <c r="L24" i="6" s="1"/>
  <c r="J18" i="6"/>
  <c r="L18" i="6" s="1"/>
  <c r="J15" i="6"/>
  <c r="L15" i="6" s="1"/>
  <c r="J14" i="6"/>
  <c r="L14" i="6" s="1"/>
  <c r="J11" i="6"/>
  <c r="L11" i="6" s="1"/>
  <c r="J4" i="6"/>
  <c r="L4" i="6" s="1"/>
  <c r="J3" i="6"/>
  <c r="L3" i="6" s="1"/>
  <c r="J6" i="6"/>
  <c r="L6" i="6" s="1"/>
  <c r="J17" i="6"/>
  <c r="L17" i="6" s="1"/>
  <c r="J16" i="6"/>
  <c r="L16" i="6" s="1"/>
  <c r="J9" i="6"/>
  <c r="L9" i="6" s="1"/>
  <c r="J19" i="6"/>
  <c r="L19" i="6" s="1"/>
  <c r="J2" i="6"/>
  <c r="L2" i="6" s="1"/>
  <c r="J13" i="6"/>
  <c r="L13" i="6" s="1"/>
  <c r="J12" i="6"/>
  <c r="L12" i="6" s="1"/>
  <c r="J8" i="6"/>
  <c r="L8" i="6" s="1"/>
  <c r="J7" i="6"/>
  <c r="L7" i="6" s="1"/>
  <c r="J10" i="6"/>
  <c r="L10" i="6" s="1"/>
  <c r="J5" i="6"/>
  <c r="L5" i="6" s="1"/>
  <c r="J66" i="5"/>
  <c r="L66" i="5" s="1"/>
  <c r="J65" i="5"/>
  <c r="L65" i="5" s="1"/>
  <c r="J63" i="5"/>
  <c r="L63" i="5" s="1"/>
  <c r="C29" i="1" s="1"/>
  <c r="J64" i="5"/>
  <c r="L64" i="5" s="1"/>
  <c r="J61" i="5"/>
  <c r="L61" i="5" s="1"/>
  <c r="J60" i="5"/>
  <c r="L60" i="5" s="1"/>
  <c r="J57" i="5"/>
  <c r="L57" i="5" s="1"/>
  <c r="J56" i="5"/>
  <c r="L56" i="5" s="1"/>
  <c r="J55" i="5"/>
  <c r="L55" i="5" s="1"/>
  <c r="J68" i="5"/>
  <c r="L68" i="5" s="1"/>
  <c r="J53" i="5"/>
  <c r="L53" i="5" s="1"/>
  <c r="J58" i="5"/>
  <c r="L58" i="5" s="1"/>
  <c r="J52" i="5"/>
  <c r="L52" i="5" s="1"/>
  <c r="J51" i="5"/>
  <c r="L51" i="5" s="1"/>
  <c r="J67" i="5"/>
  <c r="L67" i="5" s="1"/>
  <c r="J50" i="5"/>
  <c r="L50" i="5" s="1"/>
  <c r="J49" i="5"/>
  <c r="L49" i="5" s="1"/>
  <c r="J48" i="5"/>
  <c r="L48" i="5" s="1"/>
  <c r="J46" i="5"/>
  <c r="L46" i="5" s="1"/>
  <c r="J54" i="5"/>
  <c r="L54" i="5" s="1"/>
  <c r="J47" i="5"/>
  <c r="L47" i="5" s="1"/>
  <c r="J5" i="5"/>
  <c r="L5" i="5" s="1"/>
  <c r="B7" i="1" s="1"/>
  <c r="J4" i="5"/>
  <c r="L4" i="5" s="1"/>
  <c r="J35" i="5"/>
  <c r="L35" i="5" s="1"/>
  <c r="J3" i="5"/>
  <c r="L3" i="5" s="1"/>
  <c r="J2" i="5"/>
  <c r="L2" i="5" s="1"/>
  <c r="H7" i="4"/>
  <c r="J7" i="4" s="1"/>
  <c r="H6" i="4"/>
  <c r="J6" i="4" s="1"/>
  <c r="H5" i="4"/>
  <c r="J5" i="4" s="1"/>
  <c r="H4" i="4"/>
  <c r="J4" i="4" s="1"/>
  <c r="H3" i="4"/>
  <c r="J3" i="4" s="1"/>
  <c r="J2" i="4"/>
  <c r="H2" i="4"/>
  <c r="J54" i="3"/>
  <c r="L54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" i="3"/>
  <c r="L4" i="3" s="1"/>
  <c r="J12" i="3"/>
  <c r="L12" i="3" s="1"/>
  <c r="J11" i="3"/>
  <c r="L11" i="3" s="1"/>
  <c r="J10" i="3"/>
  <c r="L10" i="3" s="1"/>
  <c r="J9" i="3"/>
  <c r="L9" i="3" s="1"/>
  <c r="J8" i="3"/>
  <c r="L8" i="3" s="1"/>
  <c r="J13" i="3"/>
  <c r="L13" i="3" s="1"/>
  <c r="J36" i="3"/>
  <c r="L36" i="3" s="1"/>
  <c r="J6" i="3"/>
  <c r="L6" i="3" s="1"/>
  <c r="J7" i="3"/>
  <c r="L7" i="3" s="1"/>
  <c r="J5" i="3"/>
  <c r="L5" i="3" s="1"/>
  <c r="J35" i="3"/>
  <c r="L35" i="3" s="1"/>
  <c r="J2" i="3"/>
  <c r="L2" i="3" s="1"/>
  <c r="J3" i="3"/>
  <c r="L3" i="3" s="1"/>
  <c r="J41" i="2"/>
  <c r="L41" i="2" s="1"/>
  <c r="J33" i="2"/>
  <c r="L33" i="2" s="1"/>
  <c r="J26" i="2"/>
  <c r="L26" i="2" s="1"/>
  <c r="J27" i="2"/>
  <c r="L27" i="2" s="1"/>
  <c r="J28" i="2"/>
  <c r="L28" i="2" s="1"/>
  <c r="J30" i="2"/>
  <c r="L30" i="2" s="1"/>
  <c r="J34" i="2"/>
  <c r="L34" i="2" s="1"/>
  <c r="J40" i="2"/>
  <c r="L40" i="2" s="1"/>
  <c r="J39" i="2"/>
  <c r="L39" i="2" s="1"/>
  <c r="J38" i="2"/>
  <c r="L38" i="2" s="1"/>
  <c r="J31" i="2"/>
  <c r="L31" i="2" s="1"/>
  <c r="J37" i="2"/>
  <c r="L37" i="2" s="1"/>
  <c r="J42" i="2"/>
  <c r="L42" i="2" s="1"/>
  <c r="J25" i="2"/>
  <c r="L25" i="2" s="1"/>
  <c r="J35" i="2"/>
  <c r="L35" i="2" s="1"/>
  <c r="J36" i="2"/>
  <c r="L36" i="2" s="1"/>
  <c r="J29" i="2"/>
  <c r="L29" i="2" s="1"/>
  <c r="J32" i="2"/>
  <c r="L32" i="2" s="1"/>
  <c r="J19" i="2"/>
  <c r="L19" i="2" s="1"/>
  <c r="J5" i="2"/>
  <c r="L5" i="2" s="1"/>
  <c r="J4" i="2"/>
  <c r="L4" i="2" s="1"/>
  <c r="J6" i="2"/>
  <c r="L6" i="2" s="1"/>
  <c r="J18" i="2"/>
  <c r="L18" i="2" s="1"/>
  <c r="J17" i="2"/>
  <c r="L17" i="2" s="1"/>
  <c r="J21" i="2"/>
  <c r="L21" i="2" s="1"/>
  <c r="J3" i="2"/>
  <c r="L3" i="2" s="1"/>
  <c r="J7" i="2"/>
  <c r="L7" i="2" s="1"/>
  <c r="J8" i="2"/>
  <c r="L8" i="2" s="1"/>
  <c r="C23" i="1" l="1"/>
  <c r="B19" i="1"/>
  <c r="C17" i="1"/>
  <c r="C19" i="1"/>
  <c r="C18" i="1"/>
  <c r="B27" i="1"/>
  <c r="D27" i="1" s="1"/>
  <c r="C8" i="1"/>
  <c r="C12" i="1"/>
  <c r="C13" i="1"/>
  <c r="B11" i="1"/>
  <c r="B18" i="1"/>
  <c r="C15" i="1"/>
  <c r="B2" i="1"/>
  <c r="D2" i="1" s="1"/>
  <c r="C22" i="1"/>
  <c r="B8" i="1"/>
  <c r="C6" i="1"/>
  <c r="C21" i="1"/>
  <c r="C14" i="1"/>
  <c r="B13" i="1"/>
  <c r="B21" i="1"/>
  <c r="C10" i="1"/>
  <c r="B25" i="1"/>
  <c r="B23" i="1"/>
  <c r="C11" i="1"/>
  <c r="B22" i="1"/>
  <c r="B31" i="1"/>
  <c r="B17" i="1"/>
  <c r="C25" i="1"/>
  <c r="B15" i="1"/>
  <c r="C24" i="1"/>
  <c r="C31" i="1"/>
  <c r="B12" i="1"/>
  <c r="B24" i="1"/>
  <c r="B6" i="1"/>
  <c r="B14" i="1"/>
  <c r="B10" i="1"/>
  <c r="C20" i="1"/>
  <c r="C16" i="1"/>
  <c r="B20" i="1"/>
  <c r="B16" i="1"/>
  <c r="D26" i="1"/>
  <c r="D5" i="1"/>
  <c r="D30" i="1"/>
  <c r="D28" i="1"/>
  <c r="D4" i="1"/>
  <c r="D9" i="1"/>
  <c r="D7" i="1"/>
  <c r="D3" i="1"/>
  <c r="Q8" i="6"/>
  <c r="O8" i="6"/>
  <c r="D29" i="1"/>
  <c r="D13" i="1" l="1"/>
  <c r="D18" i="1"/>
  <c r="D11" i="1"/>
  <c r="D10" i="1"/>
  <c r="D22" i="1"/>
  <c r="D19" i="1"/>
  <c r="D23" i="1"/>
  <c r="D31" i="1"/>
  <c r="D12" i="1"/>
  <c r="D25" i="1"/>
  <c r="D6" i="1"/>
  <c r="D8" i="1"/>
  <c r="D15" i="1"/>
  <c r="D16" i="1"/>
  <c r="D24" i="1"/>
  <c r="D20" i="1"/>
  <c r="D17" i="1"/>
  <c r="D14" i="1"/>
  <c r="D21" i="1"/>
</calcChain>
</file>

<file path=xl/sharedStrings.xml><?xml version="1.0" encoding="utf-8"?>
<sst xmlns="http://schemas.openxmlformats.org/spreadsheetml/2006/main" count="875" uniqueCount="113">
  <si>
    <t>Item</t>
  </si>
  <si>
    <t>Total London</t>
  </si>
  <si>
    <t>Total Outports</t>
  </si>
  <si>
    <t>Total</t>
  </si>
  <si>
    <t>Annatto</t>
  </si>
  <si>
    <t>Bayberry Wax</t>
  </si>
  <si>
    <t>Bees Wax</t>
  </si>
  <si>
    <t>Brandy</t>
  </si>
  <si>
    <t>Brown Sugar</t>
  </si>
  <si>
    <t>Cascarilla</t>
  </si>
  <si>
    <t>Chocolate</t>
  </si>
  <si>
    <t>Cockeneal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</si>
  <si>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</si>
  <si>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</si>
  <si>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</si>
  <si>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</si>
  <si>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</si>
  <si>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</si>
  <si>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</si>
  <si>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</si>
  <si>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</si>
  <si>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</si>
  <si>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</si>
  <si>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</si>
  <si>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</si>
  <si>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</si>
  <si>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</si>
  <si>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</si>
  <si>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</si>
  <si>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</si>
  <si>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Tea</t>
  </si>
  <si>
    <t>Sasparilla</t>
  </si>
  <si>
    <t>Madera Wine</t>
  </si>
  <si>
    <t>Items</t>
  </si>
  <si>
    <t>Import Location</t>
  </si>
  <si>
    <t>ton</t>
  </si>
  <si>
    <t>hh</t>
  </si>
  <si>
    <t>quarter</t>
  </si>
  <si>
    <t>lb</t>
  </si>
  <si>
    <t>Total Pounds</t>
  </si>
  <si>
    <t>Total Tons</t>
  </si>
  <si>
    <t>London</t>
  </si>
  <si>
    <t>Lemon Water</t>
  </si>
  <si>
    <t>Out Ports</t>
  </si>
  <si>
    <t>Fustic</t>
  </si>
  <si>
    <t>Cocoa</t>
  </si>
  <si>
    <t>Total Sugar</t>
  </si>
  <si>
    <t>Aloes Epatica</t>
  </si>
  <si>
    <t>Cocheneal</t>
  </si>
  <si>
    <t>Green Ginger</t>
  </si>
  <si>
    <t>Cocoa Paste</t>
  </si>
  <si>
    <t>Oranges</t>
  </si>
  <si>
    <t>Barrel Staves</t>
  </si>
  <si>
    <t>Hemp</t>
  </si>
  <si>
    <t>Snuff</t>
  </si>
  <si>
    <t>Total Not Sugar</t>
  </si>
  <si>
    <t>Cocoa Wood</t>
  </si>
  <si>
    <t>Wool Vigonia</t>
  </si>
  <si>
    <t>Jamaica Roots</t>
  </si>
  <si>
    <t>Cortex Winteranus</t>
  </si>
  <si>
    <t>Elephants Teeth</t>
  </si>
  <si>
    <t>Pickles</t>
  </si>
  <si>
    <t>Succand</t>
  </si>
  <si>
    <t>Whalebone</t>
  </si>
  <si>
    <t>174 bags</t>
  </si>
  <si>
    <t>72g</t>
  </si>
  <si>
    <t>98g</t>
  </si>
  <si>
    <t>Nutmeg</t>
  </si>
  <si>
    <t>Turmeric</t>
  </si>
  <si>
    <t>2t 1hh 34g</t>
  </si>
  <si>
    <t>375bags</t>
  </si>
  <si>
    <t>1506g</t>
  </si>
  <si>
    <t>1566g</t>
  </si>
  <si>
    <t>Cassia Fistula</t>
  </si>
  <si>
    <t>Spanish Wine</t>
  </si>
  <si>
    <t>114g</t>
  </si>
  <si>
    <t>599.5 bags</t>
  </si>
  <si>
    <t>3123g</t>
  </si>
  <si>
    <t>342g</t>
  </si>
  <si>
    <t>16.5bags</t>
  </si>
  <si>
    <t>47g</t>
  </si>
  <si>
    <t>357bags</t>
  </si>
  <si>
    <t>210g</t>
  </si>
  <si>
    <t>112g</t>
  </si>
  <si>
    <t>7 bags</t>
  </si>
  <si>
    <t>25g</t>
  </si>
  <si>
    <t>134g</t>
  </si>
  <si>
    <t>1.5t</t>
  </si>
  <si>
    <t>2g</t>
  </si>
  <si>
    <t>Tallow</t>
  </si>
  <si>
    <t>1393g</t>
  </si>
  <si>
    <t>415g</t>
  </si>
  <si>
    <t>146g</t>
  </si>
  <si>
    <t>70g</t>
  </si>
  <si>
    <t>95g</t>
  </si>
  <si>
    <t>Succads</t>
  </si>
  <si>
    <t>YEAR</t>
  </si>
  <si>
    <t>COMMODITY_NAME</t>
  </si>
  <si>
    <t>FROM_LOCATION</t>
  </si>
  <si>
    <t>TO_LOCATION</t>
  </si>
  <si>
    <t>WEIGHT</t>
  </si>
  <si>
    <t>Antigua</t>
  </si>
  <si>
    <t>Wood, Braziletto</t>
  </si>
  <si>
    <t>Wood, Fustick</t>
  </si>
  <si>
    <t>Wood, Logwood</t>
  </si>
  <si>
    <t>Wood, Redwood</t>
  </si>
  <si>
    <t>Barbados</t>
  </si>
  <si>
    <t>Jamaica</t>
  </si>
  <si>
    <t>Mountserat</t>
  </si>
  <si>
    <t>Nevis</t>
  </si>
  <si>
    <t>StKitts</t>
  </si>
  <si>
    <t>Guinea Grains</t>
  </si>
  <si>
    <t>Wood, Nicaragua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</si>
</sst>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5C1-F8D0-4D2C-BA0D-D6FBA7DDC00A}">
  <dimension ref="A1:D31"/>
  <sheetViews>
    <sheetView tabSelected="1" workbookViewId="0">
      <selection activeCell="D11" sqref="D1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SUMIFS(Bermuda!$J:$J, Bermuda!$A:$A, $A2, Bermuda!$B:$B,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1.7058035714285715</v>
      </c>
      <c r="C2">
        <f>SUMIFS(Antigua!$L:$L, Antigua!$B:$B, $A2, Antigua!$D:$D, "Out Ports") + SUMIFS(Barbados!$L:$L, Barbados!$B:$B, $A2, Barbados!$D:$D, "Out Ports") + SUMIFS(Bermuda!$J:$J, Bermuda!$A:$A, $A2, Bermuda!$B:$B,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0.96964285714285714</v>
      </c>
      <c r="D2">
        <f>ROUND((B2+C2),2)</f>
        <v>2.68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SUMIFS(Bermuda!$J:$J, Bermuda!$A:$A, $A3, Bermuda!$B:$B,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</v>
      </c>
      <c r="C3">
        <f>SUMIFS(Antigua!$L:$L, Antigua!$B:$B, $A3, Antigua!$D:$D, "Out Ports") + SUMIFS(Barbados!$L:$L, Barbados!$B:$B, $A3, Barbados!$D:$D, "Out Ports") + SUMIFS(Bermuda!$J:$J, Bermuda!$A:$A, $A3, Bermuda!$B:$B,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ROUND((B3+C3),2)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SUMIFS(Bermuda!$J:$J, Bermuda!$A:$A, $A4, Bermuda!$B:$B,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0</v>
      </c>
      <c r="C4">
        <f>SUMIFS(Antigua!$L:$L, Antigua!$B:$B, $A4, Antigua!$D:$D, "Out Ports") + SUMIFS(Barbados!$L:$L, Barbados!$B:$B, $A4, Barbados!$D:$D, "Out Ports") + SUMIFS(Bermuda!$J:$J, Bermuda!$A:$A, $A4, Bermuda!$B:$B,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0</v>
      </c>
      <c r="D4">
        <f t="shared" si="0"/>
        <v>0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SUMIFS(Bermuda!$J:$J, Bermuda!$A:$A, $A5, Bermuda!$B:$B,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SUMIFS(Bermuda!$J:$J, Bermuda!$A:$A, $A5, Bermuda!$B:$B,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SUMIFS(Bermuda!$J:$J, Bermuda!$A:$A, $A6, Bermuda!$B:$B,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10831.629910714288</v>
      </c>
      <c r="C6">
        <f>SUMIFS(Antigua!$L:$L, Antigua!$B:$B, $A6, Antigua!$D:$D, "Out Ports") + SUMIFS(Barbados!$L:$L, Barbados!$B:$B, $A6, Barbados!$D:$D, "Out Ports") + SUMIFS(Bermuda!$J:$J, Bermuda!$A:$A, $A6, Bermuda!$B:$B,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4097.0032366071428</v>
      </c>
      <c r="D6">
        <f t="shared" si="0"/>
        <v>14928.63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SUMIFS(Bermuda!$J:$J, Bermuda!$A:$A, $A7, Bermuda!$B:$B,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0</v>
      </c>
      <c r="C7">
        <f>SUMIFS(Antigua!$L:$L, Antigua!$B:$B, $A7, Antigua!$D:$D, "Out Ports") + SUMIFS(Barbados!$L:$L, Barbados!$B:$B, $A7, Barbados!$D:$D, "Out Ports") + SUMIFS(Bermuda!$J:$J, Bermuda!$A:$A, $A7, Bermuda!$B:$B,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0</v>
      </c>
      <c r="D7">
        <f t="shared" si="0"/>
        <v>0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SUMIFS(Bermuda!$J:$J, Bermuda!$A:$A, $A8, Bermuda!$B:$B,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9.9553571428571436E-2</v>
      </c>
      <c r="C8">
        <f>SUMIFS(Antigua!$L:$L, Antigua!$B:$B, $A8, Antigua!$D:$D, "Out Ports") + SUMIFS(Barbados!$L:$L, Barbados!$B:$B, $A8, Barbados!$D:$D, "Out Ports") + SUMIFS(Bermuda!$J:$J, Bermuda!$A:$A, $A8, Bermuda!$B:$B,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3.1250000000000002E-3</v>
      </c>
      <c r="D8">
        <f t="shared" si="0"/>
        <v>0.1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SUMIFS(Bermuda!$J:$J, Bermuda!$A:$A, $A9, Bermuda!$B:$B,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0</v>
      </c>
      <c r="C9">
        <f>SUMIFS(Antigua!$L:$L, Antigua!$B:$B, $A9, Antigua!$D:$D, "Out Ports") + SUMIFS(Barbados!$L:$L, Barbados!$B:$B, $A9, Barbados!$D:$D, "Out Ports") + SUMIFS(Bermuda!$J:$J, Bermuda!$A:$A, $A9, Bermuda!$B:$B,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0</v>
      </c>
      <c r="D9">
        <f t="shared" si="0"/>
        <v>0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SUMIFS(Bermuda!$J:$J, Bermuda!$A:$A, $A10, Bermuda!$B:$B,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64.253571428571419</v>
      </c>
      <c r="C10">
        <f>SUMIFS(Antigua!$L:$L, Antigua!$B:$B, $A10, Antigua!$D:$D, "Out Ports") + SUMIFS(Barbados!$L:$L, Barbados!$B:$B, $A10, Barbados!$D:$D, "Out Ports") + SUMIFS(Bermuda!$J:$J, Bermuda!$A:$A, $A10, Bermuda!$B:$B,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8.8785714285714281</v>
      </c>
      <c r="D10">
        <f t="shared" si="0"/>
        <v>73.13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SUMIFS(Bermuda!$J:$J, Bermuda!$A:$A, $A11, Bermuda!$B:$B,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135.93191964285717</v>
      </c>
      <c r="C11">
        <f>SUMIFS(Antigua!$L:$L, Antigua!$B:$B, $A11, Antigua!$D:$D, "Out Ports") + SUMIFS(Barbados!$L:$L, Barbados!$B:$B, $A11, Barbados!$D:$D, "Out Ports") + SUMIFS(Bermuda!$J:$J, Bermuda!$A:$A, $A11, Bermuda!$B:$B,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70.961830357142844</v>
      </c>
      <c r="D11">
        <f t="shared" si="0"/>
        <v>206.89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SUMIFS(Bermuda!$J:$J, Bermuda!$A:$A, $A12, Bermuda!$B:$B,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812.72008928571427</v>
      </c>
      <c r="C12">
        <f>SUMIFS(Antigua!$L:$L, Antigua!$B:$B, $A12, Antigua!$D:$D, "Out Ports") + SUMIFS(Barbados!$L:$L, Barbados!$B:$B, $A12, Barbados!$D:$D, "Out Ports") + SUMIFS(Bermuda!$J:$J, Bermuda!$A:$A, $A12, Bermuda!$B:$B,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153.57946428571429</v>
      </c>
      <c r="D12">
        <f t="shared" si="0"/>
        <v>966.3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SUMIFS(Bermuda!$J:$J, Bermuda!$A:$A, $A13, Bermuda!$B:$B,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9.8325892857142847</v>
      </c>
      <c r="C13">
        <f>SUMIFS(Antigua!$L:$L, Antigua!$B:$B, $A13, Antigua!$D:$D, "Out Ports") + SUMIFS(Barbados!$L:$L, Barbados!$B:$B, $A13, Barbados!$D:$D, "Out Ports") + SUMIFS(Bermuda!$J:$J, Bermuda!$A:$A, $A13, Bermuda!$B:$B,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0.5022321428571429</v>
      </c>
      <c r="D13">
        <f t="shared" si="0"/>
        <v>10.33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SUMIFS(Bermuda!$J:$J, Bermuda!$A:$A, $A14, Bermuda!$B:$B,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53.629017857142848</v>
      </c>
      <c r="C14">
        <f>SUMIFS(Antigua!$L:$L, Antigua!$B:$B, $A14, Antigua!$D:$D, "Out Ports") + SUMIFS(Barbados!$L:$L, Barbados!$B:$B, $A14, Barbados!$D:$D, "Out Ports") + SUMIFS(Bermuda!$J:$J, Bermuda!$A:$A, $A14, Bermuda!$B:$B,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18.939732142857142</v>
      </c>
      <c r="D14">
        <f t="shared" si="0"/>
        <v>72.569999999999993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SUMIFS(Bermuda!$J:$J, Bermuda!$A:$A, $A15, Bermuda!$B:$B,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52.237500000000004</v>
      </c>
      <c r="C15">
        <f>SUMIFS(Antigua!$L:$L, Antigua!$B:$B, $A15, Antigua!$D:$D, "Out Ports") + SUMIFS(Barbados!$L:$L, Barbados!$B:$B, $A15, Barbados!$D:$D, "Out Ports") + SUMIFS(Bermuda!$J:$J, Bermuda!$A:$A, $A15, Bermuda!$B:$B,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5.6763392857142865</v>
      </c>
      <c r="D15">
        <f t="shared" si="0"/>
        <v>57.91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SUMIFS(Bermuda!$J:$J, Bermuda!$A:$A, $A16, Bermuda!$B:$B,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22.338392857142857</v>
      </c>
      <c r="C16">
        <f>SUMIFS(Antigua!$L:$L, Antigua!$B:$B, $A16, Antigua!$D:$D, "Out Ports") + SUMIFS(Barbados!$L:$L, Barbados!$B:$B, $A16, Barbados!$D:$D, "Out Ports") + SUMIFS(Bermuda!$J:$J, Bermuda!$A:$A, $A16, Bermuda!$B:$B,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8.0785714285714292</v>
      </c>
      <c r="D16">
        <f t="shared" si="0"/>
        <v>30.42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SUMIFS(Bermuda!$J:$J, Bermuda!$A:$A, $A17, Bermuda!$B:$B,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107.07991071428572</v>
      </c>
      <c r="C17">
        <f>SUMIFS(Antigua!$L:$L, Antigua!$B:$B, $A17, Antigua!$D:$D, "Out Ports") + SUMIFS(Barbados!$L:$L, Barbados!$B:$B, $A17, Barbados!$D:$D, "Out Ports") + SUMIFS(Bermuda!$J:$J, Bermuda!$A:$A, $A17, Bermuda!$B:$B,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60.396874999999994</v>
      </c>
      <c r="D17">
        <f t="shared" si="0"/>
        <v>167.48</v>
      </c>
    </row>
    <row r="18" spans="1:4" x14ac:dyDescent="0.25">
      <c r="A18" t="s">
        <v>20</v>
      </c>
      <c r="B18">
        <f>SUMIFS(Antigua!$L:$L, Antigua!$B:$B, $A18, Antigua!$D:$D, "London") + SUMIFS(Barbados!$L:$L, Barbados!$B:$B, $A18, Barbados!$D:$D, "London") + SUMIFS(Bermuda!$J:$J, Bermuda!$A:$A, $A18, Bermuda!$B:$B,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22.490178571428572</v>
      </c>
      <c r="C18">
        <f>SUMIFS(Antigua!$L:$L, Antigua!$B:$B, $A18, Antigua!$D:$D, "Out Ports") + SUMIFS(Barbados!$L:$L, Barbados!$B:$B, $A18, Barbados!$D:$D, "Out Ports") + SUMIFS(Bermuda!$J:$J, Bermuda!$A:$A, $A18, Bermuda!$B:$B,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12.615178571428572</v>
      </c>
      <c r="D18">
        <f t="shared" si="0"/>
        <v>35.11</v>
      </c>
    </row>
    <row r="19" spans="1:4" x14ac:dyDescent="0.25">
      <c r="A19" t="s">
        <v>21</v>
      </c>
      <c r="B19">
        <f>SUMIFS(Antigua!$L:$L, Antigua!$B:$B, $A19, Antigua!$D:$D, "London") + SUMIFS(Barbados!$L:$L, Barbados!$B:$B, $A19, Barbados!$D:$D, "London") + SUMIFS(Bermuda!$J:$J, Bermuda!$A:$A, $A19, Bermuda!$B:$B,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</v>
      </c>
      <c r="C19">
        <f>SUMIFS(Antigua!$L:$L, Antigua!$B:$B, $A19, Antigua!$D:$D, "Out Ports") + SUMIFS(Barbados!$L:$L, Barbados!$B:$B, $A19, Barbados!$D:$D, "Out Ports") + SUMIFS(Bermuda!$J:$J, Bermuda!$A:$A, $A19, Bermuda!$B:$B,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9.5535714285714288</v>
      </c>
      <c r="D19">
        <f t="shared" si="0"/>
        <v>9.5500000000000007</v>
      </c>
    </row>
    <row r="20" spans="1:4" x14ac:dyDescent="0.25">
      <c r="A20" t="s">
        <v>22</v>
      </c>
      <c r="B20">
        <f>SUMIFS(Antigua!$L:$L, Antigua!$B:$B, $A20, Antigua!$D:$D, "London") + SUMIFS(Barbados!$L:$L, Barbados!$B:$B, $A20, Barbados!$D:$D, "London") + SUMIFS(Bermuda!$J:$J, Bermuda!$A:$A, $A20, Bermuda!$B:$B,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9.5428571428571427</v>
      </c>
      <c r="C20">
        <f>SUMIFS(Antigua!$L:$L, Antigua!$B:$B, $A20, Antigua!$D:$D, "Out Ports") + SUMIFS(Barbados!$L:$L, Barbados!$B:$B, $A20, Barbados!$D:$D, "Out Ports") + SUMIFS(Bermuda!$J:$J, Bermuda!$A:$A, $A20, Bermuda!$B:$B,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2.7973214285714287</v>
      </c>
      <c r="D20">
        <f t="shared" si="0"/>
        <v>12.34</v>
      </c>
    </row>
    <row r="21" spans="1:4" x14ac:dyDescent="0.25">
      <c r="A21" t="s">
        <v>23</v>
      </c>
      <c r="B21">
        <f>SUMIFS(Antigua!$L:$L, Antigua!$B:$B, $A21, Antigua!$D:$D, "London") + SUMIFS(Barbados!$L:$L, Barbados!$B:$B, $A21, Barbados!$D:$D, "London") + SUMIFS(Bermuda!$J:$J, Bermuda!$A:$A, $A21, Bermuda!$B:$B,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3.34375</v>
      </c>
      <c r="C21">
        <f>SUMIFS(Antigua!$L:$L, Antigua!$B:$B, $A21, Antigua!$D:$D, "Out Ports") + SUMIFS(Barbados!$L:$L, Barbados!$B:$B, $A21, Barbados!$D:$D, "Out Ports") + SUMIFS(Bermuda!$J:$J, Bermuda!$A:$A, $A21, Bermuda!$B:$B,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0.3482142857142857</v>
      </c>
      <c r="D21">
        <f t="shared" si="0"/>
        <v>3.69</v>
      </c>
    </row>
    <row r="22" spans="1:4" x14ac:dyDescent="0.25">
      <c r="A22" t="s">
        <v>95</v>
      </c>
      <c r="B22">
        <f>SUMIFS(Antigua!$L:$L, Antigua!$B:$B, $A22, Antigua!$D:$D, "London") + SUMIFS(Barbados!$L:$L, Barbados!$B:$B, $A22, Barbados!$D:$D, "London") + SUMIFS(Bermuda!$J:$J, Bermuda!$A:$A, $A22, Bermuda!$B:$B,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0.83392857142857146</v>
      </c>
      <c r="C22">
        <f>SUMIFS(Antigua!$L:$L, Antigua!$B:$B, $A22, Antigua!$D:$D, "Out Ports") + SUMIFS(Barbados!$L:$L, Barbados!$B:$B, $A22, Barbados!$D:$D, "Out Ports") + SUMIFS(Bermuda!$J:$J, Bermuda!$A:$A, $A22, Bermuda!$B:$B,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0.13169642857142858</v>
      </c>
      <c r="D22">
        <f t="shared" si="0"/>
        <v>0.97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SUMIFS(Bermuda!$J:$J, Bermuda!$A:$A, $A23, Bermuda!$B:$B,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26.730357142857144</v>
      </c>
      <c r="C23">
        <f>SUMIFS(Antigua!$L:$L, Antigua!$B:$B, $A23, Antigua!$D:$D, "Out Ports") + SUMIFS(Barbados!$L:$L, Barbados!$B:$B, $A23, Barbados!$D:$D, "Out Ports") + SUMIFS(Bermuda!$J:$J, Bermuda!$A:$A, $A23, Bermuda!$B:$B,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1.0258928571428572</v>
      </c>
      <c r="D23">
        <f t="shared" si="0"/>
        <v>27.76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SUMIFS(Bermuda!$J:$J, Bermuda!$A:$A, $A24, Bermuda!$B:$B,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0.72142857142857142</v>
      </c>
      <c r="C24">
        <f>SUMIFS(Antigua!$L:$L, Antigua!$B:$B, $A24, Antigua!$D:$D, "Out Ports") + SUMIFS(Barbados!$L:$L, Barbados!$B:$B, $A24, Barbados!$D:$D, "Out Ports") + SUMIFS(Bermuda!$J:$J, Bermuda!$A:$A, $A24, Bermuda!$B:$B,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0.16874999999999998</v>
      </c>
      <c r="D24">
        <f t="shared" si="0"/>
        <v>0.89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SUMIFS(Bermuda!$J:$J, Bermuda!$A:$A, $A25, Bermuda!$B:$B,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41.387500000000003</v>
      </c>
      <c r="C25">
        <f>SUMIFS(Antigua!$L:$L, Antigua!$B:$B, $A25, Antigua!$D:$D, "Out Ports") + SUMIFS(Barbados!$L:$L, Barbados!$B:$B, $A25, Barbados!$D:$D, "Out Ports") + SUMIFS(Bermuda!$J:$J, Bermuda!$A:$A, $A25, Bermuda!$B:$B,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1.3647321428571428</v>
      </c>
      <c r="D25">
        <f t="shared" si="0"/>
        <v>42.75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SUMIFS(Bermuda!$J:$J, Bermuda!$A:$A, $A26, Bermuda!$B:$B,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0</v>
      </c>
      <c r="C26">
        <f>SUMIFS(Antigua!$L:$L, Antigua!$B:$B, $A26, Antigua!$D:$D, "Out Ports") + SUMIFS(Barbados!$L:$L, Barbados!$B:$B, $A26, Barbados!$D:$D, "Out Ports") + SUMIFS(Bermuda!$J:$J, Bermuda!$A:$A, $A26, Bermuda!$B:$B,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0</v>
      </c>
      <c r="D26">
        <f t="shared" si="0"/>
        <v>0</v>
      </c>
    </row>
    <row r="27" spans="1:4" x14ac:dyDescent="0.25">
      <c r="A27" t="s">
        <v>28</v>
      </c>
      <c r="B27">
        <f>SUMIFS(Antigua!$L:$L, Antigua!$B:$B, $A27, Antigua!$D:$D, "London") + SUMIFS(Barbados!$L:$L, Barbados!$B:$B, $A27, Barbados!$D:$D, "London") + SUMIFS(Bermuda!$J:$J, Bermuda!$A:$A, $A27, Bermuda!$B:$B,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0</v>
      </c>
      <c r="C27">
        <f>SUMIFS(Antigua!$L:$L, Antigua!$B:$B, $A27, Antigua!$D:$D, "Out Ports") + SUMIFS(Barbados!$L:$L, Barbados!$B:$B, $A27, Barbados!$D:$D, "Out Ports") + SUMIFS(Bermuda!$J:$J, Bermuda!$A:$A, $A27, Bermuda!$B:$B,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0</v>
      </c>
    </row>
    <row r="28" spans="1:4" x14ac:dyDescent="0.25">
      <c r="A28" t="s">
        <v>29</v>
      </c>
      <c r="B28">
        <f>SUMIFS(Antigua!$L:$L, Antigua!$B:$B, $A28, Antigua!$D:$D, "London") + SUMIFS(Barbados!$L:$L, Barbados!$B:$B, $A28, Barbados!$D:$D, "London") + SUMIFS(Bermuda!$J:$J, Bermuda!$A:$A, $A28, Bermuda!$B:$B,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0</v>
      </c>
      <c r="C28">
        <f>SUMIFS(Antigua!$L:$L, Antigua!$B:$B, $A28, Antigua!$D:$D, "Out Ports") + SUMIFS(Barbados!$L:$L, Barbados!$B:$B, $A28, Barbados!$D:$D, "Out Ports") + SUMIFS(Bermuda!$J:$J, Bermuda!$A:$A, $A28, Bermuda!$B:$B,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0</v>
      </c>
      <c r="D28">
        <f t="shared" si="0"/>
        <v>0</v>
      </c>
    </row>
    <row r="29" spans="1:4" x14ac:dyDescent="0.25">
      <c r="A29" t="s">
        <v>30</v>
      </c>
      <c r="B29">
        <f>SUMIFS(Antigua!$L:$L, Antigua!$B:$B, $A29, Antigua!$D:$D, "London") + SUMIFS(Barbados!$L:$L, Barbados!$B:$B, $A29, Barbados!$D:$D, "London") + SUMIFS(Bermuda!$J:$J, Bermuda!$A:$A, $A29, Bermuda!$B:$B,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0</v>
      </c>
      <c r="C29">
        <f>SUMIFS(Antigua!$L:$L, Antigua!$B:$B, $A29, Antigua!$D:$D, "Out Ports") + SUMIFS(Barbados!$L:$L, Barbados!$B:$B, $A29, Barbados!$D:$D, "Out Ports") + SUMIFS(Bermuda!$J:$J, Bermuda!$A:$A, $A29, Bermuda!$B:$B,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0</v>
      </c>
      <c r="D29">
        <f t="shared" si="0"/>
        <v>0</v>
      </c>
    </row>
    <row r="30" spans="1:4" x14ac:dyDescent="0.25">
      <c r="A30" t="s">
        <v>31</v>
      </c>
      <c r="B30">
        <f>SUMIFS(Antigua!$L:$L, Antigua!$B:$B, $A30, Antigua!$D:$D, "London") + SUMIFS(Barbados!$L:$L, Barbados!$B:$B, $A30, Barbados!$D:$D, "London") + SUMIFS(Bermuda!$J:$J, Bermuda!$A:$A, $A30, Bermuda!$B:$B,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1.9642857142857142E-2</v>
      </c>
      <c r="C30">
        <f>SUMIFS(Antigua!$L:$L, Antigua!$B:$B, $A30, Antigua!$D:$D, "Out Ports") + SUMIFS(Barbados!$L:$L, Barbados!$B:$B, $A30, Barbados!$D:$D, "Out Ports") + SUMIFS(Bermuda!$J:$J, Bermuda!$A:$A, $A30, Bermuda!$B:$B,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0</v>
      </c>
      <c r="D30">
        <f t="shared" si="0"/>
        <v>0.02</v>
      </c>
    </row>
    <row r="31" spans="1:4" x14ac:dyDescent="0.25">
      <c r="A31" t="s">
        <v>32</v>
      </c>
      <c r="B31">
        <f>SUMIFS(Antigua!$L:$L, Antigua!$B:$B, $A31, Antigua!$D:$D, "London") + SUMIFS(Barbados!$L:$L, Barbados!$B:$B, $A31, Barbados!$D:$D, "London") + SUMIFS(Bermuda!$J:$J, Bermuda!$A:$A, $A31, Bermuda!$B:$B,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2.7080357142857143</v>
      </c>
      <c r="C31">
        <f>SUMIFS(Antigua!$L:$L, Antigua!$B:$B, $A31, Antigua!$D:$D, "Out Ports") + SUMIFS(Barbados!$L:$L, Barbados!$B:$B, $A31, Barbados!$D:$D, "Out Ports") + SUMIFS(Bermuda!$J:$J, Bermuda!$A:$A, $A31, Bermuda!$B:$B,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1.703125</v>
      </c>
      <c r="D31">
        <f t="shared" si="0"/>
        <v>4.41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F86B-D77A-4F68-BFF3-ECC6D2DDEE5B}">
  <dimension ref="A1:O42"/>
  <sheetViews>
    <sheetView workbookViewId="0">
      <selection activeCell="H7" sqref="H7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  <c r="O1" s="1"/>
    </row>
    <row r="2" spans="1:15" x14ac:dyDescent="0.25">
      <c r="A2">
        <v>1704</v>
      </c>
      <c r="B2" t="s">
        <v>4</v>
      </c>
      <c r="C2" t="s">
        <v>101</v>
      </c>
      <c r="D2" t="s">
        <v>41</v>
      </c>
      <c r="J2">
        <f t="shared" ref="J2:J19" si="0">(E2*2240)+(F2*112)+(G2*28)+H2</f>
        <v>0</v>
      </c>
      <c r="L2">
        <f t="shared" ref="L2:L19" si="1">J2/2240</f>
        <v>0</v>
      </c>
    </row>
    <row r="3" spans="1:15" x14ac:dyDescent="0.25">
      <c r="A3">
        <v>1704</v>
      </c>
      <c r="B3" t="s">
        <v>8</v>
      </c>
      <c r="C3" t="s">
        <v>101</v>
      </c>
      <c r="D3" t="s">
        <v>41</v>
      </c>
      <c r="F3">
        <v>26698</v>
      </c>
      <c r="G3">
        <v>1</v>
      </c>
      <c r="H3">
        <v>21</v>
      </c>
      <c r="J3">
        <f t="shared" si="0"/>
        <v>2990225</v>
      </c>
      <c r="L3">
        <f t="shared" si="1"/>
        <v>1334.921875</v>
      </c>
    </row>
    <row r="4" spans="1:15" x14ac:dyDescent="0.25">
      <c r="A4">
        <v>1704</v>
      </c>
      <c r="B4" t="s">
        <v>10</v>
      </c>
      <c r="C4" t="s">
        <v>101</v>
      </c>
      <c r="D4" t="s">
        <v>41</v>
      </c>
      <c r="J4">
        <f t="shared" si="0"/>
        <v>0</v>
      </c>
      <c r="L4">
        <f t="shared" si="1"/>
        <v>0</v>
      </c>
    </row>
    <row r="5" spans="1:15" x14ac:dyDescent="0.25">
      <c r="A5">
        <v>1704</v>
      </c>
      <c r="B5" t="s">
        <v>12</v>
      </c>
      <c r="C5" t="s">
        <v>101</v>
      </c>
      <c r="D5" t="s">
        <v>41</v>
      </c>
      <c r="F5">
        <v>37</v>
      </c>
      <c r="H5">
        <v>27</v>
      </c>
      <c r="J5">
        <f t="shared" si="0"/>
        <v>4171</v>
      </c>
      <c r="L5">
        <f t="shared" si="1"/>
        <v>1.8620535714285715</v>
      </c>
    </row>
    <row r="6" spans="1:15" x14ac:dyDescent="0.25">
      <c r="A6">
        <v>1704</v>
      </c>
      <c r="B6" t="s">
        <v>13</v>
      </c>
      <c r="C6" t="s">
        <v>101</v>
      </c>
      <c r="D6" t="s">
        <v>41</v>
      </c>
      <c r="H6">
        <f>174*200</f>
        <v>34800</v>
      </c>
      <c r="I6" t="s">
        <v>64</v>
      </c>
      <c r="J6">
        <f t="shared" si="0"/>
        <v>34800</v>
      </c>
      <c r="L6">
        <f t="shared" si="1"/>
        <v>15.535714285714286</v>
      </c>
    </row>
    <row r="7" spans="1:15" x14ac:dyDescent="0.25">
      <c r="A7">
        <v>1704</v>
      </c>
      <c r="B7" t="s">
        <v>14</v>
      </c>
      <c r="C7" t="s">
        <v>101</v>
      </c>
      <c r="D7" t="s">
        <v>41</v>
      </c>
      <c r="F7">
        <v>662</v>
      </c>
      <c r="H7">
        <v>1</v>
      </c>
      <c r="J7">
        <f t="shared" si="0"/>
        <v>74145</v>
      </c>
      <c r="L7">
        <f t="shared" si="1"/>
        <v>33.100446428571431</v>
      </c>
    </row>
    <row r="8" spans="1:15" x14ac:dyDescent="0.25">
      <c r="A8">
        <v>1704</v>
      </c>
      <c r="B8" t="s">
        <v>15</v>
      </c>
      <c r="C8" t="s">
        <v>101</v>
      </c>
      <c r="D8" t="s">
        <v>41</v>
      </c>
      <c r="F8">
        <v>43</v>
      </c>
      <c r="H8">
        <v>21</v>
      </c>
      <c r="J8">
        <f t="shared" si="0"/>
        <v>4837</v>
      </c>
      <c r="L8">
        <f t="shared" si="1"/>
        <v>2.1593749999999998</v>
      </c>
    </row>
    <row r="9" spans="1:15" x14ac:dyDescent="0.25">
      <c r="A9">
        <v>1704</v>
      </c>
      <c r="B9" t="s">
        <v>16</v>
      </c>
      <c r="C9" t="s">
        <v>101</v>
      </c>
      <c r="D9" t="s">
        <v>41</v>
      </c>
      <c r="H9">
        <v>26</v>
      </c>
      <c r="J9">
        <f t="shared" si="0"/>
        <v>26</v>
      </c>
      <c r="L9">
        <f t="shared" si="1"/>
        <v>1.1607142857142858E-2</v>
      </c>
    </row>
    <row r="10" spans="1:15" x14ac:dyDescent="0.25">
      <c r="A10">
        <v>1704</v>
      </c>
      <c r="B10" t="s">
        <v>42</v>
      </c>
      <c r="C10" t="s">
        <v>101</v>
      </c>
      <c r="D10" t="s">
        <v>41</v>
      </c>
      <c r="J10">
        <f t="shared" si="0"/>
        <v>0</v>
      </c>
      <c r="L10">
        <f t="shared" si="1"/>
        <v>0</v>
      </c>
    </row>
    <row r="11" spans="1:15" x14ac:dyDescent="0.25">
      <c r="A11">
        <v>1704</v>
      </c>
      <c r="B11" t="s">
        <v>17</v>
      </c>
      <c r="C11" t="s">
        <v>101</v>
      </c>
      <c r="D11" t="s">
        <v>41</v>
      </c>
      <c r="F11">
        <v>957</v>
      </c>
      <c r="G11">
        <v>3</v>
      </c>
      <c r="J11">
        <f t="shared" si="0"/>
        <v>107268</v>
      </c>
      <c r="L11">
        <f t="shared" si="1"/>
        <v>47.887500000000003</v>
      </c>
    </row>
    <row r="12" spans="1:15" x14ac:dyDescent="0.25">
      <c r="A12">
        <v>1704</v>
      </c>
      <c r="B12" t="s">
        <v>18</v>
      </c>
      <c r="C12" t="s">
        <v>101</v>
      </c>
      <c r="D12" t="s">
        <v>41</v>
      </c>
      <c r="H12">
        <v>727</v>
      </c>
      <c r="I12" t="s">
        <v>65</v>
      </c>
      <c r="J12">
        <f t="shared" si="0"/>
        <v>727</v>
      </c>
      <c r="L12">
        <f t="shared" si="1"/>
        <v>0.32455357142857144</v>
      </c>
    </row>
    <row r="13" spans="1:15" x14ac:dyDescent="0.25">
      <c r="A13">
        <v>1704</v>
      </c>
      <c r="B13" t="s">
        <v>32</v>
      </c>
      <c r="C13" t="s">
        <v>101</v>
      </c>
      <c r="D13" t="s">
        <v>41</v>
      </c>
      <c r="J13">
        <f t="shared" si="0"/>
        <v>0</v>
      </c>
      <c r="L13">
        <f t="shared" si="1"/>
        <v>0</v>
      </c>
    </row>
    <row r="14" spans="1:15" x14ac:dyDescent="0.25">
      <c r="A14">
        <v>1704</v>
      </c>
      <c r="B14" t="s">
        <v>19</v>
      </c>
      <c r="C14" t="s">
        <v>101</v>
      </c>
      <c r="D14" t="s">
        <v>41</v>
      </c>
      <c r="F14">
        <v>23</v>
      </c>
      <c r="J14">
        <f t="shared" si="0"/>
        <v>2576</v>
      </c>
      <c r="L14">
        <f t="shared" si="1"/>
        <v>1.1499999999999999</v>
      </c>
    </row>
    <row r="15" spans="1:15" x14ac:dyDescent="0.25">
      <c r="A15">
        <v>1704</v>
      </c>
      <c r="B15" t="s">
        <v>22</v>
      </c>
      <c r="C15" t="s">
        <v>101</v>
      </c>
      <c r="D15" t="s">
        <v>41</v>
      </c>
      <c r="H15">
        <v>989</v>
      </c>
      <c r="I15" t="s">
        <v>66</v>
      </c>
      <c r="J15">
        <f t="shared" si="0"/>
        <v>989</v>
      </c>
      <c r="L15">
        <f t="shared" si="1"/>
        <v>0.44151785714285713</v>
      </c>
    </row>
    <row r="16" spans="1:15" x14ac:dyDescent="0.25">
      <c r="A16">
        <v>1704</v>
      </c>
      <c r="B16" t="s">
        <v>23</v>
      </c>
      <c r="C16" t="s">
        <v>101</v>
      </c>
      <c r="D16" t="s">
        <v>41</v>
      </c>
      <c r="J16">
        <f t="shared" si="0"/>
        <v>0</v>
      </c>
      <c r="L16">
        <f t="shared" si="1"/>
        <v>0</v>
      </c>
    </row>
    <row r="17" spans="1:12" x14ac:dyDescent="0.25">
      <c r="A17">
        <v>1704</v>
      </c>
      <c r="B17" t="s">
        <v>95</v>
      </c>
      <c r="C17" t="s">
        <v>101</v>
      </c>
      <c r="D17" t="s">
        <v>41</v>
      </c>
      <c r="H17">
        <v>42</v>
      </c>
      <c r="J17">
        <f t="shared" si="0"/>
        <v>42</v>
      </c>
      <c r="L17">
        <f t="shared" si="1"/>
        <v>1.8749999999999999E-2</v>
      </c>
    </row>
    <row r="18" spans="1:12" x14ac:dyDescent="0.25">
      <c r="A18">
        <v>1704</v>
      </c>
      <c r="B18" t="s">
        <v>24</v>
      </c>
      <c r="C18" t="s">
        <v>101</v>
      </c>
      <c r="D18" t="s">
        <v>41</v>
      </c>
      <c r="H18">
        <v>3979</v>
      </c>
      <c r="J18">
        <f t="shared" si="0"/>
        <v>3979</v>
      </c>
      <c r="L18">
        <f t="shared" si="1"/>
        <v>1.7763392857142857</v>
      </c>
    </row>
    <row r="19" spans="1:12" x14ac:dyDescent="0.25">
      <c r="A19">
        <v>1704</v>
      </c>
      <c r="B19" t="s">
        <v>25</v>
      </c>
      <c r="C19" t="s">
        <v>101</v>
      </c>
      <c r="D19" t="s">
        <v>41</v>
      </c>
      <c r="H19">
        <v>150</v>
      </c>
      <c r="J19">
        <f t="shared" si="0"/>
        <v>150</v>
      </c>
      <c r="L19">
        <f t="shared" si="1"/>
        <v>6.6964285714285712E-2</v>
      </c>
    </row>
    <row r="20" spans="1:12" x14ac:dyDescent="0.25">
      <c r="A20">
        <v>1704</v>
      </c>
      <c r="B20" t="s">
        <v>63</v>
      </c>
      <c r="C20" t="s">
        <v>101</v>
      </c>
      <c r="D20" t="s">
        <v>41</v>
      </c>
      <c r="F20">
        <v>3</v>
      </c>
      <c r="H20">
        <v>19</v>
      </c>
    </row>
    <row r="21" spans="1:12" x14ac:dyDescent="0.25">
      <c r="A21">
        <v>1704</v>
      </c>
      <c r="B21" t="s">
        <v>26</v>
      </c>
      <c r="C21" t="s">
        <v>101</v>
      </c>
      <c r="D21" t="s">
        <v>41</v>
      </c>
      <c r="F21">
        <v>2</v>
      </c>
      <c r="G21">
        <v>2</v>
      </c>
      <c r="J21">
        <f t="shared" ref="J21:J42" si="2">(E21*2240)+(F21*112)+(G21*28)+H21</f>
        <v>280</v>
      </c>
      <c r="L21">
        <f t="shared" ref="L21:L42" si="3">J21/2240</f>
        <v>0.125</v>
      </c>
    </row>
    <row r="22" spans="1:12" x14ac:dyDescent="0.25">
      <c r="A22">
        <v>1704</v>
      </c>
      <c r="B22" t="s">
        <v>103</v>
      </c>
      <c r="C22" t="s">
        <v>101</v>
      </c>
      <c r="D22" t="s">
        <v>41</v>
      </c>
      <c r="F22">
        <v>33</v>
      </c>
      <c r="J22">
        <f t="shared" si="2"/>
        <v>3696</v>
      </c>
      <c r="L22">
        <f t="shared" si="3"/>
        <v>1.65</v>
      </c>
    </row>
    <row r="23" spans="1:12" x14ac:dyDescent="0.25">
      <c r="A23">
        <v>1704</v>
      </c>
      <c r="B23" t="s">
        <v>104</v>
      </c>
      <c r="C23" t="s">
        <v>101</v>
      </c>
      <c r="D23" t="s">
        <v>41</v>
      </c>
      <c r="E23">
        <v>7</v>
      </c>
      <c r="F23">
        <v>2</v>
      </c>
      <c r="G23">
        <v>1</v>
      </c>
      <c r="J23">
        <f t="shared" si="2"/>
        <v>15932</v>
      </c>
      <c r="L23">
        <f t="shared" si="3"/>
        <v>7.1124999999999998</v>
      </c>
    </row>
    <row r="24" spans="1:12" x14ac:dyDescent="0.25">
      <c r="A24">
        <v>1704</v>
      </c>
      <c r="B24" t="s">
        <v>105</v>
      </c>
      <c r="C24" t="s">
        <v>101</v>
      </c>
      <c r="D24" t="s">
        <v>41</v>
      </c>
      <c r="F24">
        <v>17</v>
      </c>
      <c r="G24">
        <v>3</v>
      </c>
      <c r="H24">
        <v>21</v>
      </c>
      <c r="J24">
        <f t="shared" si="2"/>
        <v>2009</v>
      </c>
      <c r="L24">
        <f t="shared" si="3"/>
        <v>0.89687499999999998</v>
      </c>
    </row>
    <row r="25" spans="1:12" x14ac:dyDescent="0.25">
      <c r="A25">
        <v>1704</v>
      </c>
      <c r="B25" t="s">
        <v>8</v>
      </c>
      <c r="C25" t="s">
        <v>101</v>
      </c>
      <c r="D25" t="s">
        <v>43</v>
      </c>
      <c r="F25">
        <v>18239</v>
      </c>
      <c r="G25">
        <v>3</v>
      </c>
      <c r="H25">
        <v>6</v>
      </c>
      <c r="J25">
        <f t="shared" si="2"/>
        <v>2042858</v>
      </c>
      <c r="L25">
        <f t="shared" si="3"/>
        <v>911.9901785714286</v>
      </c>
    </row>
    <row r="26" spans="1:12" x14ac:dyDescent="0.25">
      <c r="A26">
        <v>1704</v>
      </c>
      <c r="B26" t="s">
        <v>45</v>
      </c>
      <c r="C26" t="s">
        <v>101</v>
      </c>
      <c r="D26" t="s">
        <v>43</v>
      </c>
      <c r="J26">
        <f t="shared" si="2"/>
        <v>0</v>
      </c>
      <c r="L26">
        <f t="shared" si="3"/>
        <v>0</v>
      </c>
    </row>
    <row r="27" spans="1:12" x14ac:dyDescent="0.25">
      <c r="A27">
        <v>1704</v>
      </c>
      <c r="B27" t="s">
        <v>12</v>
      </c>
      <c r="C27" t="s">
        <v>101</v>
      </c>
      <c r="D27" t="s">
        <v>43</v>
      </c>
      <c r="F27">
        <v>5</v>
      </c>
      <c r="H27">
        <v>22</v>
      </c>
      <c r="J27">
        <f t="shared" si="2"/>
        <v>582</v>
      </c>
      <c r="L27">
        <f t="shared" si="3"/>
        <v>0.25982142857142859</v>
      </c>
    </row>
    <row r="28" spans="1:12" x14ac:dyDescent="0.25">
      <c r="A28">
        <v>1704</v>
      </c>
      <c r="B28" t="s">
        <v>13</v>
      </c>
      <c r="C28" t="s">
        <v>101</v>
      </c>
      <c r="D28" t="s">
        <v>43</v>
      </c>
      <c r="H28">
        <v>32765</v>
      </c>
      <c r="J28">
        <f t="shared" si="2"/>
        <v>32765</v>
      </c>
      <c r="L28">
        <f t="shared" si="3"/>
        <v>14.627232142857142</v>
      </c>
    </row>
    <row r="29" spans="1:12" x14ac:dyDescent="0.25">
      <c r="A29">
        <v>1704</v>
      </c>
      <c r="B29" t="s">
        <v>14</v>
      </c>
      <c r="C29" t="s">
        <v>101</v>
      </c>
      <c r="D29" t="s">
        <v>43</v>
      </c>
      <c r="F29">
        <v>213</v>
      </c>
      <c r="G29">
        <v>2</v>
      </c>
      <c r="H29">
        <v>20</v>
      </c>
      <c r="J29">
        <f t="shared" si="2"/>
        <v>23932</v>
      </c>
      <c r="L29">
        <f t="shared" si="3"/>
        <v>10.683928571428572</v>
      </c>
    </row>
    <row r="30" spans="1:12" x14ac:dyDescent="0.25">
      <c r="A30">
        <v>1704</v>
      </c>
      <c r="B30" t="s">
        <v>44</v>
      </c>
      <c r="C30" t="s">
        <v>101</v>
      </c>
      <c r="D30" t="s">
        <v>43</v>
      </c>
      <c r="J30">
        <f t="shared" si="2"/>
        <v>0</v>
      </c>
      <c r="L30">
        <f t="shared" si="3"/>
        <v>0</v>
      </c>
    </row>
    <row r="31" spans="1:12" x14ac:dyDescent="0.25">
      <c r="A31">
        <v>1704</v>
      </c>
      <c r="B31" t="s">
        <v>16</v>
      </c>
      <c r="C31" t="s">
        <v>101</v>
      </c>
      <c r="D31" t="s">
        <v>43</v>
      </c>
      <c r="J31">
        <f t="shared" si="2"/>
        <v>0</v>
      </c>
      <c r="L31">
        <f t="shared" si="3"/>
        <v>0</v>
      </c>
    </row>
    <row r="32" spans="1:12" x14ac:dyDescent="0.25">
      <c r="A32">
        <v>1704</v>
      </c>
      <c r="B32" t="s">
        <v>17</v>
      </c>
      <c r="C32" t="s">
        <v>101</v>
      </c>
      <c r="D32" t="s">
        <v>43</v>
      </c>
      <c r="E32">
        <v>3</v>
      </c>
      <c r="F32">
        <v>6</v>
      </c>
      <c r="G32">
        <v>2</v>
      </c>
      <c r="J32">
        <f t="shared" si="2"/>
        <v>7448</v>
      </c>
      <c r="L32">
        <f t="shared" si="3"/>
        <v>3.3250000000000002</v>
      </c>
    </row>
    <row r="33" spans="1:12" x14ac:dyDescent="0.25">
      <c r="A33">
        <v>1704</v>
      </c>
      <c r="B33" t="s">
        <v>18</v>
      </c>
      <c r="C33" t="s">
        <v>101</v>
      </c>
      <c r="D33" t="s">
        <v>43</v>
      </c>
      <c r="H33">
        <v>252</v>
      </c>
      <c r="I33" t="s">
        <v>85</v>
      </c>
      <c r="J33">
        <f t="shared" si="2"/>
        <v>252</v>
      </c>
      <c r="L33">
        <f t="shared" si="3"/>
        <v>0.1125</v>
      </c>
    </row>
    <row r="34" spans="1:12" x14ac:dyDescent="0.25">
      <c r="A34">
        <v>1704</v>
      </c>
      <c r="B34" t="s">
        <v>32</v>
      </c>
      <c r="C34" t="s">
        <v>101</v>
      </c>
      <c r="D34" t="s">
        <v>43</v>
      </c>
      <c r="J34">
        <f t="shared" si="2"/>
        <v>0</v>
      </c>
      <c r="L34">
        <f t="shared" si="3"/>
        <v>0</v>
      </c>
    </row>
    <row r="35" spans="1:12" x14ac:dyDescent="0.25">
      <c r="A35">
        <v>1704</v>
      </c>
      <c r="B35" t="s">
        <v>19</v>
      </c>
      <c r="C35" t="s">
        <v>101</v>
      </c>
      <c r="D35" t="s">
        <v>43</v>
      </c>
      <c r="F35">
        <v>298</v>
      </c>
      <c r="H35">
        <v>19</v>
      </c>
      <c r="J35">
        <f t="shared" si="2"/>
        <v>33395</v>
      </c>
      <c r="L35">
        <f t="shared" si="3"/>
        <v>14.908482142857142</v>
      </c>
    </row>
    <row r="36" spans="1:12" x14ac:dyDescent="0.25">
      <c r="A36">
        <v>1704</v>
      </c>
      <c r="B36" t="s">
        <v>21</v>
      </c>
      <c r="C36" t="s">
        <v>101</v>
      </c>
      <c r="D36" t="s">
        <v>43</v>
      </c>
      <c r="J36">
        <f t="shared" si="2"/>
        <v>0</v>
      </c>
      <c r="L36">
        <f t="shared" si="3"/>
        <v>0</v>
      </c>
    </row>
    <row r="37" spans="1:12" x14ac:dyDescent="0.25">
      <c r="A37">
        <v>1704</v>
      </c>
      <c r="B37" t="s">
        <v>22</v>
      </c>
      <c r="C37" t="s">
        <v>101</v>
      </c>
      <c r="D37" t="s">
        <v>43</v>
      </c>
      <c r="H37">
        <v>1352</v>
      </c>
      <c r="I37" t="s">
        <v>86</v>
      </c>
      <c r="J37">
        <f t="shared" si="2"/>
        <v>1352</v>
      </c>
      <c r="L37">
        <f t="shared" si="3"/>
        <v>0.60357142857142854</v>
      </c>
    </row>
    <row r="38" spans="1:12" x14ac:dyDescent="0.25">
      <c r="A38">
        <v>1704</v>
      </c>
      <c r="B38" t="s">
        <v>23</v>
      </c>
      <c r="C38" t="s">
        <v>101</v>
      </c>
      <c r="D38" t="s">
        <v>43</v>
      </c>
      <c r="F38">
        <v>2</v>
      </c>
      <c r="G38">
        <v>1</v>
      </c>
      <c r="J38">
        <f t="shared" si="2"/>
        <v>252</v>
      </c>
      <c r="L38">
        <f t="shared" si="3"/>
        <v>0.1125</v>
      </c>
    </row>
    <row r="39" spans="1:12" x14ac:dyDescent="0.25">
      <c r="A39">
        <v>1704</v>
      </c>
      <c r="B39" t="s">
        <v>95</v>
      </c>
      <c r="C39" t="s">
        <v>101</v>
      </c>
      <c r="D39" t="s">
        <v>43</v>
      </c>
      <c r="J39">
        <f t="shared" si="2"/>
        <v>0</v>
      </c>
      <c r="L39">
        <f t="shared" si="3"/>
        <v>0</v>
      </c>
    </row>
    <row r="40" spans="1:12" x14ac:dyDescent="0.25">
      <c r="A40">
        <v>1704</v>
      </c>
      <c r="B40" t="s">
        <v>24</v>
      </c>
      <c r="C40" t="s">
        <v>101</v>
      </c>
      <c r="D40" t="s">
        <v>43</v>
      </c>
      <c r="H40">
        <v>2298</v>
      </c>
      <c r="J40">
        <f t="shared" si="2"/>
        <v>2298</v>
      </c>
      <c r="L40">
        <f t="shared" si="3"/>
        <v>1.0258928571428572</v>
      </c>
    </row>
    <row r="41" spans="1:12" x14ac:dyDescent="0.25">
      <c r="A41">
        <v>1704</v>
      </c>
      <c r="B41" t="s">
        <v>25</v>
      </c>
      <c r="C41" t="s">
        <v>101</v>
      </c>
      <c r="D41" t="s">
        <v>43</v>
      </c>
      <c r="H41">
        <v>4</v>
      </c>
      <c r="J41">
        <f t="shared" si="2"/>
        <v>4</v>
      </c>
      <c r="L41">
        <f t="shared" si="3"/>
        <v>1.7857142857142857E-3</v>
      </c>
    </row>
    <row r="42" spans="1:12" x14ac:dyDescent="0.25">
      <c r="A42">
        <v>1704</v>
      </c>
      <c r="B42" t="s">
        <v>26</v>
      </c>
      <c r="C42" t="s">
        <v>101</v>
      </c>
      <c r="D42" t="s">
        <v>43</v>
      </c>
      <c r="G42">
        <v>1</v>
      </c>
      <c r="H42">
        <v>4</v>
      </c>
      <c r="J42">
        <f t="shared" si="2"/>
        <v>32</v>
      </c>
      <c r="L42">
        <f t="shared" si="3"/>
        <v>1.4285714285714285E-2</v>
      </c>
    </row>
  </sheetData>
  <autoFilter ref="A1:O42" xr:uid="{C47CF86B-D77A-4F68-BFF3-ECC6D2DDEE5B}">
    <sortState xmlns:xlrd2="http://schemas.microsoft.com/office/spreadsheetml/2017/richdata2" ref="A2:O42">
      <sortCondition ref="D1:D4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3568-7D31-416F-8EB7-FD02AFD54C11}">
  <dimension ref="A1:L54"/>
  <sheetViews>
    <sheetView topLeftCell="A25" workbookViewId="0">
      <selection activeCell="H11" sqref="H1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</row>
    <row r="2" spans="1:12" x14ac:dyDescent="0.25">
      <c r="A2">
        <v>1704</v>
      </c>
      <c r="B2" t="s">
        <v>47</v>
      </c>
      <c r="C2" t="s">
        <v>106</v>
      </c>
      <c r="D2" t="s">
        <v>41</v>
      </c>
      <c r="H2">
        <v>1570</v>
      </c>
      <c r="J2">
        <f t="shared" ref="J2:J33" si="0">(E2*2240)+(F2*112)+(G2*28)+H2</f>
        <v>1570</v>
      </c>
      <c r="L2">
        <f t="shared" ref="L2:L33" si="1">J2/2240</f>
        <v>0.7008928571428571</v>
      </c>
    </row>
    <row r="3" spans="1:12" x14ac:dyDescent="0.25">
      <c r="A3">
        <v>1704</v>
      </c>
      <c r="B3" t="s">
        <v>4</v>
      </c>
      <c r="C3" t="s">
        <v>106</v>
      </c>
      <c r="D3" t="s">
        <v>41</v>
      </c>
      <c r="H3">
        <v>1473</v>
      </c>
      <c r="J3">
        <f t="shared" si="0"/>
        <v>1473</v>
      </c>
      <c r="L3">
        <f t="shared" si="1"/>
        <v>0.65758928571428577</v>
      </c>
    </row>
    <row r="4" spans="1:12" x14ac:dyDescent="0.25">
      <c r="A4">
        <v>1704</v>
      </c>
      <c r="B4" t="s">
        <v>52</v>
      </c>
      <c r="C4" t="s">
        <v>106</v>
      </c>
      <c r="D4" t="s">
        <v>41</v>
      </c>
      <c r="J4">
        <f t="shared" si="0"/>
        <v>0</v>
      </c>
      <c r="L4">
        <f t="shared" si="1"/>
        <v>0</v>
      </c>
    </row>
    <row r="5" spans="1:12" x14ac:dyDescent="0.25">
      <c r="A5">
        <v>1704</v>
      </c>
      <c r="B5" t="s">
        <v>8</v>
      </c>
      <c r="C5" t="s">
        <v>106</v>
      </c>
      <c r="D5" t="s">
        <v>41</v>
      </c>
      <c r="F5">
        <v>77586</v>
      </c>
      <c r="G5">
        <v>3</v>
      </c>
      <c r="H5">
        <v>20</v>
      </c>
      <c r="J5">
        <f t="shared" si="0"/>
        <v>8689736</v>
      </c>
      <c r="L5">
        <f t="shared" si="1"/>
        <v>3879.3464285714285</v>
      </c>
    </row>
    <row r="6" spans="1:12" x14ac:dyDescent="0.25">
      <c r="A6">
        <v>1704</v>
      </c>
      <c r="B6" t="s">
        <v>10</v>
      </c>
      <c r="C6" t="s">
        <v>106</v>
      </c>
      <c r="D6" t="s">
        <v>41</v>
      </c>
      <c r="H6">
        <v>40</v>
      </c>
      <c r="J6">
        <f t="shared" si="0"/>
        <v>40</v>
      </c>
      <c r="L6">
        <f t="shared" si="1"/>
        <v>1.7857142857142856E-2</v>
      </c>
    </row>
    <row r="7" spans="1:12" x14ac:dyDescent="0.25">
      <c r="A7">
        <v>1704</v>
      </c>
      <c r="B7" t="s">
        <v>48</v>
      </c>
      <c r="C7" t="s">
        <v>106</v>
      </c>
      <c r="D7" t="s">
        <v>41</v>
      </c>
      <c r="J7">
        <f t="shared" si="0"/>
        <v>0</v>
      </c>
      <c r="L7">
        <f t="shared" si="1"/>
        <v>0</v>
      </c>
    </row>
    <row r="8" spans="1:12" x14ac:dyDescent="0.25">
      <c r="A8">
        <v>1704</v>
      </c>
      <c r="B8" t="s">
        <v>12</v>
      </c>
      <c r="C8" t="s">
        <v>106</v>
      </c>
      <c r="D8" t="s">
        <v>41</v>
      </c>
      <c r="F8">
        <v>795</v>
      </c>
      <c r="G8">
        <v>12</v>
      </c>
      <c r="H8">
        <v>0</v>
      </c>
      <c r="J8">
        <f t="shared" si="0"/>
        <v>89376</v>
      </c>
      <c r="L8">
        <f t="shared" si="1"/>
        <v>39.9</v>
      </c>
    </row>
    <row r="9" spans="1:12" x14ac:dyDescent="0.25">
      <c r="A9">
        <v>1704</v>
      </c>
      <c r="B9" t="s">
        <v>50</v>
      </c>
      <c r="C9" t="s">
        <v>106</v>
      </c>
      <c r="D9" t="s">
        <v>41</v>
      </c>
      <c r="J9">
        <f t="shared" si="0"/>
        <v>0</v>
      </c>
      <c r="L9">
        <f t="shared" si="1"/>
        <v>0</v>
      </c>
    </row>
    <row r="10" spans="1:12" x14ac:dyDescent="0.25">
      <c r="A10">
        <v>1704</v>
      </c>
      <c r="B10" t="s">
        <v>13</v>
      </c>
      <c r="C10" t="s">
        <v>106</v>
      </c>
      <c r="D10" t="s">
        <v>41</v>
      </c>
      <c r="H10">
        <f>375*200</f>
        <v>75000</v>
      </c>
      <c r="I10" t="s">
        <v>70</v>
      </c>
      <c r="J10">
        <f t="shared" si="0"/>
        <v>75000</v>
      </c>
      <c r="L10">
        <f t="shared" si="1"/>
        <v>33.482142857142854</v>
      </c>
    </row>
    <row r="11" spans="1:12" x14ac:dyDescent="0.25">
      <c r="A11">
        <v>1704</v>
      </c>
      <c r="B11" t="s">
        <v>14</v>
      </c>
      <c r="C11" t="s">
        <v>106</v>
      </c>
      <c r="D11" t="s">
        <v>41</v>
      </c>
      <c r="F11">
        <v>2750</v>
      </c>
      <c r="G11">
        <v>1</v>
      </c>
      <c r="H11">
        <v>1</v>
      </c>
      <c r="J11">
        <f t="shared" si="0"/>
        <v>308029</v>
      </c>
      <c r="L11">
        <f t="shared" si="1"/>
        <v>137.51294642857144</v>
      </c>
    </row>
    <row r="12" spans="1:12" x14ac:dyDescent="0.25">
      <c r="A12">
        <v>1704</v>
      </c>
      <c r="B12" t="s">
        <v>15</v>
      </c>
      <c r="C12" t="s">
        <v>106</v>
      </c>
      <c r="D12" t="s">
        <v>41</v>
      </c>
      <c r="F12">
        <v>26</v>
      </c>
      <c r="G12">
        <v>1</v>
      </c>
      <c r="H12">
        <v>11</v>
      </c>
      <c r="J12">
        <f t="shared" si="0"/>
        <v>2951</v>
      </c>
      <c r="L12">
        <f t="shared" si="1"/>
        <v>1.3174107142857143</v>
      </c>
    </row>
    <row r="13" spans="1:12" x14ac:dyDescent="0.25">
      <c r="A13">
        <v>1704</v>
      </c>
      <c r="B13" t="s">
        <v>49</v>
      </c>
      <c r="C13" t="s">
        <v>106</v>
      </c>
      <c r="D13" t="s">
        <v>41</v>
      </c>
      <c r="J13">
        <f t="shared" si="0"/>
        <v>0</v>
      </c>
      <c r="L13">
        <f t="shared" si="1"/>
        <v>0</v>
      </c>
    </row>
    <row r="14" spans="1:12" x14ac:dyDescent="0.25">
      <c r="A14">
        <v>1704</v>
      </c>
      <c r="B14" t="s">
        <v>111</v>
      </c>
      <c r="C14" t="s">
        <v>106</v>
      </c>
      <c r="D14" t="s">
        <v>41</v>
      </c>
      <c r="H14">
        <v>1901</v>
      </c>
      <c r="J14">
        <f t="shared" si="0"/>
        <v>1901</v>
      </c>
      <c r="L14">
        <f t="shared" si="1"/>
        <v>0.84866071428571432</v>
      </c>
    </row>
    <row r="15" spans="1:12" x14ac:dyDescent="0.25">
      <c r="A15">
        <v>1704</v>
      </c>
      <c r="B15" t="s">
        <v>53</v>
      </c>
      <c r="C15" t="s">
        <v>106</v>
      </c>
      <c r="D15" t="s">
        <v>41</v>
      </c>
      <c r="J15">
        <f t="shared" si="0"/>
        <v>0</v>
      </c>
      <c r="L15">
        <f t="shared" si="1"/>
        <v>0</v>
      </c>
    </row>
    <row r="16" spans="1:12" x14ac:dyDescent="0.25">
      <c r="A16">
        <v>1704</v>
      </c>
      <c r="B16" t="s">
        <v>16</v>
      </c>
      <c r="C16" t="s">
        <v>106</v>
      </c>
      <c r="D16" t="s">
        <v>41</v>
      </c>
      <c r="H16">
        <v>146</v>
      </c>
      <c r="J16">
        <f t="shared" si="0"/>
        <v>146</v>
      </c>
      <c r="L16">
        <f t="shared" si="1"/>
        <v>6.5178571428571433E-2</v>
      </c>
    </row>
    <row r="17" spans="1:12" x14ac:dyDescent="0.25">
      <c r="A17">
        <v>1704</v>
      </c>
      <c r="B17" t="s">
        <v>42</v>
      </c>
      <c r="C17" t="s">
        <v>106</v>
      </c>
      <c r="D17" t="s">
        <v>41</v>
      </c>
      <c r="J17">
        <f t="shared" si="0"/>
        <v>0</v>
      </c>
      <c r="L17">
        <f t="shared" si="1"/>
        <v>0</v>
      </c>
    </row>
    <row r="18" spans="1:12" x14ac:dyDescent="0.25">
      <c r="A18">
        <v>1704</v>
      </c>
      <c r="B18" t="s">
        <v>17</v>
      </c>
      <c r="C18" t="s">
        <v>106</v>
      </c>
      <c r="D18" t="s">
        <v>41</v>
      </c>
      <c r="E18">
        <v>2</v>
      </c>
      <c r="F18">
        <v>12</v>
      </c>
      <c r="J18">
        <f t="shared" si="0"/>
        <v>5824</v>
      </c>
      <c r="L18">
        <f t="shared" si="1"/>
        <v>2.6</v>
      </c>
    </row>
    <row r="19" spans="1:12" x14ac:dyDescent="0.25">
      <c r="A19">
        <v>1704</v>
      </c>
      <c r="B19" t="s">
        <v>18</v>
      </c>
      <c r="C19" t="s">
        <v>106</v>
      </c>
      <c r="D19" t="s">
        <v>41</v>
      </c>
      <c r="H19">
        <v>15199</v>
      </c>
      <c r="I19" t="s">
        <v>71</v>
      </c>
      <c r="J19">
        <f t="shared" si="0"/>
        <v>15199</v>
      </c>
      <c r="L19">
        <f t="shared" si="1"/>
        <v>6.7852678571428573</v>
      </c>
    </row>
    <row r="20" spans="1:12" x14ac:dyDescent="0.25">
      <c r="A20">
        <v>1704</v>
      </c>
      <c r="B20" t="s">
        <v>27</v>
      </c>
      <c r="C20" t="s">
        <v>106</v>
      </c>
      <c r="D20" t="s">
        <v>41</v>
      </c>
      <c r="J20">
        <f t="shared" si="0"/>
        <v>0</v>
      </c>
      <c r="L20">
        <f t="shared" si="1"/>
        <v>0</v>
      </c>
    </row>
    <row r="21" spans="1:12" x14ac:dyDescent="0.25">
      <c r="A21">
        <v>1704</v>
      </c>
      <c r="B21" t="s">
        <v>32</v>
      </c>
      <c r="C21" t="s">
        <v>106</v>
      </c>
      <c r="D21" t="s">
        <v>41</v>
      </c>
      <c r="H21">
        <v>6066</v>
      </c>
      <c r="I21" t="s">
        <v>69</v>
      </c>
      <c r="J21">
        <f t="shared" si="0"/>
        <v>6066</v>
      </c>
      <c r="L21">
        <f t="shared" si="1"/>
        <v>2.7080357142857143</v>
      </c>
    </row>
    <row r="22" spans="1:12" x14ac:dyDescent="0.25">
      <c r="A22">
        <v>1704</v>
      </c>
      <c r="B22" t="s">
        <v>19</v>
      </c>
      <c r="C22" t="s">
        <v>106</v>
      </c>
      <c r="D22" t="s">
        <v>41</v>
      </c>
      <c r="F22">
        <v>2113</v>
      </c>
      <c r="G22">
        <v>3</v>
      </c>
      <c r="H22">
        <v>11</v>
      </c>
      <c r="J22">
        <f t="shared" si="0"/>
        <v>236751</v>
      </c>
      <c r="L22">
        <f t="shared" si="1"/>
        <v>105.69241071428571</v>
      </c>
    </row>
    <row r="23" spans="1:12" x14ac:dyDescent="0.25">
      <c r="A23">
        <v>1704</v>
      </c>
      <c r="B23" t="s">
        <v>67</v>
      </c>
      <c r="C23" t="s">
        <v>106</v>
      </c>
      <c r="D23" t="s">
        <v>41</v>
      </c>
      <c r="H23">
        <v>60</v>
      </c>
      <c r="J23">
        <f t="shared" si="0"/>
        <v>60</v>
      </c>
      <c r="L23">
        <f t="shared" si="1"/>
        <v>2.6785714285714284E-2</v>
      </c>
    </row>
    <row r="24" spans="1:12" x14ac:dyDescent="0.25">
      <c r="A24">
        <v>1704</v>
      </c>
      <c r="B24" t="s">
        <v>51</v>
      </c>
      <c r="C24" t="s">
        <v>106</v>
      </c>
      <c r="D24" t="s">
        <v>41</v>
      </c>
      <c r="J24">
        <f t="shared" si="0"/>
        <v>0</v>
      </c>
      <c r="L24">
        <f t="shared" si="1"/>
        <v>0</v>
      </c>
    </row>
    <row r="25" spans="1:12" x14ac:dyDescent="0.25">
      <c r="A25">
        <v>1704</v>
      </c>
      <c r="B25" t="s">
        <v>20</v>
      </c>
      <c r="C25" t="s">
        <v>106</v>
      </c>
      <c r="D25" t="s">
        <v>41</v>
      </c>
      <c r="H25">
        <v>94</v>
      </c>
      <c r="J25">
        <f t="shared" si="0"/>
        <v>94</v>
      </c>
      <c r="L25">
        <f t="shared" si="1"/>
        <v>4.1964285714285711E-2</v>
      </c>
    </row>
    <row r="26" spans="1:12" x14ac:dyDescent="0.25">
      <c r="A26">
        <v>1704</v>
      </c>
      <c r="B26" t="s">
        <v>21</v>
      </c>
      <c r="C26" t="s">
        <v>106</v>
      </c>
      <c r="D26" t="s">
        <v>41</v>
      </c>
      <c r="J26">
        <f t="shared" si="0"/>
        <v>0</v>
      </c>
      <c r="L26">
        <f t="shared" si="1"/>
        <v>0</v>
      </c>
    </row>
    <row r="27" spans="1:12" x14ac:dyDescent="0.25">
      <c r="A27">
        <v>1704</v>
      </c>
      <c r="B27" t="s">
        <v>22</v>
      </c>
      <c r="C27" t="s">
        <v>106</v>
      </c>
      <c r="D27" t="s">
        <v>41</v>
      </c>
      <c r="H27">
        <v>15805</v>
      </c>
      <c r="I27" t="s">
        <v>72</v>
      </c>
      <c r="J27">
        <f t="shared" si="0"/>
        <v>15805</v>
      </c>
      <c r="L27">
        <f t="shared" si="1"/>
        <v>7.0558035714285712</v>
      </c>
    </row>
    <row r="28" spans="1:12" x14ac:dyDescent="0.25">
      <c r="A28">
        <v>1704</v>
      </c>
      <c r="B28" t="s">
        <v>23</v>
      </c>
      <c r="C28" t="s">
        <v>106</v>
      </c>
      <c r="D28" t="s">
        <v>41</v>
      </c>
      <c r="F28">
        <v>56</v>
      </c>
      <c r="G28">
        <v>1</v>
      </c>
      <c r="J28">
        <f t="shared" si="0"/>
        <v>6300</v>
      </c>
      <c r="L28">
        <f t="shared" si="1"/>
        <v>2.8125</v>
      </c>
    </row>
    <row r="29" spans="1:12" x14ac:dyDescent="0.25">
      <c r="A29">
        <v>1704</v>
      </c>
      <c r="B29" t="s">
        <v>54</v>
      </c>
      <c r="C29" t="s">
        <v>106</v>
      </c>
      <c r="D29" t="s">
        <v>41</v>
      </c>
      <c r="J29">
        <f t="shared" si="0"/>
        <v>0</v>
      </c>
      <c r="L29">
        <f t="shared" si="1"/>
        <v>0</v>
      </c>
    </row>
    <row r="30" spans="1:12" x14ac:dyDescent="0.25">
      <c r="A30">
        <v>1704</v>
      </c>
      <c r="B30" t="s">
        <v>95</v>
      </c>
      <c r="C30" t="s">
        <v>106</v>
      </c>
      <c r="D30" t="s">
        <v>41</v>
      </c>
      <c r="H30">
        <v>1288</v>
      </c>
      <c r="J30">
        <f t="shared" si="0"/>
        <v>1288</v>
      </c>
      <c r="L30">
        <f t="shared" si="1"/>
        <v>0.57499999999999996</v>
      </c>
    </row>
    <row r="31" spans="1:12" x14ac:dyDescent="0.25">
      <c r="A31">
        <v>1704</v>
      </c>
      <c r="B31" t="s">
        <v>24</v>
      </c>
      <c r="C31" t="s">
        <v>106</v>
      </c>
      <c r="D31" t="s">
        <v>41</v>
      </c>
      <c r="J31">
        <f t="shared" si="0"/>
        <v>0</v>
      </c>
      <c r="L31">
        <f t="shared" si="1"/>
        <v>0</v>
      </c>
    </row>
    <row r="32" spans="1:12" x14ac:dyDescent="0.25">
      <c r="A32">
        <v>1704</v>
      </c>
      <c r="B32" t="s">
        <v>25</v>
      </c>
      <c r="C32" t="s">
        <v>106</v>
      </c>
      <c r="D32" t="s">
        <v>41</v>
      </c>
      <c r="H32">
        <v>6</v>
      </c>
      <c r="J32">
        <f t="shared" si="0"/>
        <v>6</v>
      </c>
      <c r="L32">
        <f t="shared" si="1"/>
        <v>2.6785714285714286E-3</v>
      </c>
    </row>
    <row r="33" spans="1:12" x14ac:dyDescent="0.25">
      <c r="A33">
        <v>1704</v>
      </c>
      <c r="B33" t="s">
        <v>68</v>
      </c>
      <c r="C33" t="s">
        <v>106</v>
      </c>
      <c r="D33" t="s">
        <v>41</v>
      </c>
      <c r="H33">
        <v>4</v>
      </c>
      <c r="J33">
        <f t="shared" si="0"/>
        <v>4</v>
      </c>
      <c r="L33">
        <f t="shared" si="1"/>
        <v>1.7857142857142857E-3</v>
      </c>
    </row>
    <row r="34" spans="1:12" x14ac:dyDescent="0.25">
      <c r="A34">
        <v>1704</v>
      </c>
      <c r="B34" t="s">
        <v>26</v>
      </c>
      <c r="C34" t="s">
        <v>106</v>
      </c>
      <c r="D34" t="s">
        <v>41</v>
      </c>
      <c r="F34">
        <v>756</v>
      </c>
      <c r="H34">
        <v>16</v>
      </c>
      <c r="J34">
        <f t="shared" ref="J34:J54" si="2">(E34*2240)+(F34*112)+(G34*28)+H34</f>
        <v>84688</v>
      </c>
      <c r="L34">
        <f t="shared" ref="L34:L54" si="3">J34/2240</f>
        <v>37.807142857142857</v>
      </c>
    </row>
    <row r="35" spans="1:12" x14ac:dyDescent="0.25">
      <c r="A35">
        <v>1704</v>
      </c>
      <c r="B35" t="s">
        <v>102</v>
      </c>
      <c r="C35" t="s">
        <v>106</v>
      </c>
      <c r="D35" t="s">
        <v>41</v>
      </c>
      <c r="E35">
        <v>27</v>
      </c>
      <c r="F35">
        <v>10</v>
      </c>
      <c r="G35">
        <v>1</v>
      </c>
      <c r="J35">
        <f t="shared" si="2"/>
        <v>61628</v>
      </c>
      <c r="L35">
        <f t="shared" si="3"/>
        <v>27.512499999999999</v>
      </c>
    </row>
    <row r="36" spans="1:12" x14ac:dyDescent="0.25">
      <c r="A36">
        <v>1704</v>
      </c>
      <c r="B36" t="s">
        <v>103</v>
      </c>
      <c r="C36" t="s">
        <v>106</v>
      </c>
      <c r="D36" t="s">
        <v>41</v>
      </c>
      <c r="F36">
        <v>335</v>
      </c>
      <c r="G36">
        <v>3</v>
      </c>
      <c r="H36">
        <v>4</v>
      </c>
      <c r="J36">
        <f t="shared" si="2"/>
        <v>37608</v>
      </c>
      <c r="L36">
        <f t="shared" si="3"/>
        <v>16.789285714285715</v>
      </c>
    </row>
    <row r="37" spans="1:12" x14ac:dyDescent="0.25">
      <c r="A37">
        <v>1704</v>
      </c>
      <c r="B37" t="s">
        <v>104</v>
      </c>
      <c r="C37" t="s">
        <v>106</v>
      </c>
      <c r="D37" t="s">
        <v>41</v>
      </c>
      <c r="J37">
        <f t="shared" si="2"/>
        <v>0</v>
      </c>
      <c r="L37">
        <f t="shared" si="3"/>
        <v>0</v>
      </c>
    </row>
    <row r="38" spans="1:12" x14ac:dyDescent="0.25">
      <c r="A38">
        <v>1704</v>
      </c>
      <c r="B38" t="s">
        <v>105</v>
      </c>
      <c r="C38" t="s">
        <v>106</v>
      </c>
      <c r="D38" t="s">
        <v>41</v>
      </c>
      <c r="F38">
        <v>33</v>
      </c>
      <c r="G38">
        <v>1</v>
      </c>
      <c r="H38">
        <v>19</v>
      </c>
      <c r="J38">
        <f t="shared" si="2"/>
        <v>3743</v>
      </c>
      <c r="L38">
        <f t="shared" si="3"/>
        <v>1.6709821428571427</v>
      </c>
    </row>
    <row r="39" spans="1:12" x14ac:dyDescent="0.25">
      <c r="A39">
        <v>1704</v>
      </c>
      <c r="B39" t="s">
        <v>8</v>
      </c>
      <c r="C39" t="s">
        <v>106</v>
      </c>
      <c r="D39" t="s">
        <v>43</v>
      </c>
      <c r="F39">
        <v>12152</v>
      </c>
      <c r="G39">
        <v>1</v>
      </c>
      <c r="H39">
        <v>22</v>
      </c>
      <c r="J39">
        <f t="shared" si="2"/>
        <v>1361074</v>
      </c>
      <c r="L39">
        <f t="shared" si="3"/>
        <v>607.62232142857147</v>
      </c>
    </row>
    <row r="40" spans="1:12" x14ac:dyDescent="0.25">
      <c r="A40">
        <v>1704</v>
      </c>
      <c r="B40" t="s">
        <v>10</v>
      </c>
      <c r="C40" t="s">
        <v>106</v>
      </c>
      <c r="D40" t="s">
        <v>43</v>
      </c>
      <c r="J40">
        <f t="shared" si="2"/>
        <v>0</v>
      </c>
      <c r="L40">
        <f t="shared" si="3"/>
        <v>0</v>
      </c>
    </row>
    <row r="41" spans="1:12" x14ac:dyDescent="0.25">
      <c r="A41">
        <v>1704</v>
      </c>
      <c r="B41" t="s">
        <v>12</v>
      </c>
      <c r="C41" t="s">
        <v>106</v>
      </c>
      <c r="D41" t="s">
        <v>43</v>
      </c>
      <c r="H41">
        <v>114</v>
      </c>
      <c r="J41">
        <f t="shared" si="2"/>
        <v>114</v>
      </c>
      <c r="L41">
        <f t="shared" si="3"/>
        <v>5.0892857142857142E-2</v>
      </c>
    </row>
    <row r="42" spans="1:12" x14ac:dyDescent="0.25">
      <c r="A42">
        <v>1704</v>
      </c>
      <c r="B42" t="s">
        <v>13</v>
      </c>
      <c r="C42" t="s">
        <v>106</v>
      </c>
      <c r="D42" t="s">
        <v>43</v>
      </c>
      <c r="F42">
        <v>62</v>
      </c>
      <c r="G42">
        <v>1</v>
      </c>
      <c r="H42">
        <v>26</v>
      </c>
      <c r="J42">
        <f t="shared" si="2"/>
        <v>6998</v>
      </c>
      <c r="L42">
        <f t="shared" si="3"/>
        <v>3.124107142857143</v>
      </c>
    </row>
    <row r="43" spans="1:12" x14ac:dyDescent="0.25">
      <c r="A43">
        <v>1704</v>
      </c>
      <c r="B43" t="s">
        <v>14</v>
      </c>
      <c r="C43" t="s">
        <v>106</v>
      </c>
      <c r="D43" t="s">
        <v>43</v>
      </c>
      <c r="F43">
        <v>300</v>
      </c>
      <c r="H43">
        <v>25</v>
      </c>
      <c r="J43">
        <f t="shared" si="2"/>
        <v>33625</v>
      </c>
      <c r="L43">
        <f t="shared" si="3"/>
        <v>15.011160714285714</v>
      </c>
    </row>
    <row r="44" spans="1:12" x14ac:dyDescent="0.25">
      <c r="A44">
        <v>1704</v>
      </c>
      <c r="B44" t="s">
        <v>16</v>
      </c>
      <c r="C44" t="s">
        <v>106</v>
      </c>
      <c r="D44" t="s">
        <v>43</v>
      </c>
      <c r="J44">
        <f t="shared" si="2"/>
        <v>0</v>
      </c>
      <c r="L44">
        <f t="shared" si="3"/>
        <v>0</v>
      </c>
    </row>
    <row r="45" spans="1:12" x14ac:dyDescent="0.25">
      <c r="A45">
        <v>1704</v>
      </c>
      <c r="B45" t="s">
        <v>17</v>
      </c>
      <c r="C45" t="s">
        <v>106</v>
      </c>
      <c r="D45" t="s">
        <v>43</v>
      </c>
      <c r="J45">
        <f t="shared" si="2"/>
        <v>0</v>
      </c>
      <c r="L45">
        <f t="shared" si="3"/>
        <v>0</v>
      </c>
    </row>
    <row r="46" spans="1:12" x14ac:dyDescent="0.25">
      <c r="A46">
        <v>1704</v>
      </c>
      <c r="B46" t="s">
        <v>18</v>
      </c>
      <c r="C46" t="s">
        <v>106</v>
      </c>
      <c r="D46" t="s">
        <v>43</v>
      </c>
      <c r="H46">
        <v>1352</v>
      </c>
      <c r="I46" t="s">
        <v>86</v>
      </c>
      <c r="J46">
        <f t="shared" si="2"/>
        <v>1352</v>
      </c>
      <c r="L46">
        <f t="shared" si="3"/>
        <v>0.60357142857142854</v>
      </c>
    </row>
    <row r="47" spans="1:12" x14ac:dyDescent="0.25">
      <c r="A47">
        <v>1704</v>
      </c>
      <c r="B47" t="s">
        <v>32</v>
      </c>
      <c r="C47" t="s">
        <v>106</v>
      </c>
      <c r="D47" t="s">
        <v>43</v>
      </c>
      <c r="H47">
        <v>3815</v>
      </c>
      <c r="I47" t="s">
        <v>87</v>
      </c>
      <c r="J47">
        <f t="shared" si="2"/>
        <v>3815</v>
      </c>
      <c r="L47">
        <f t="shared" si="3"/>
        <v>1.703125</v>
      </c>
    </row>
    <row r="48" spans="1:12" x14ac:dyDescent="0.25">
      <c r="A48">
        <v>1704</v>
      </c>
      <c r="B48" t="s">
        <v>19</v>
      </c>
      <c r="C48" t="s">
        <v>106</v>
      </c>
      <c r="D48" t="s">
        <v>43</v>
      </c>
      <c r="F48">
        <v>909</v>
      </c>
      <c r="G48">
        <v>3</v>
      </c>
      <c r="H48">
        <v>2</v>
      </c>
      <c r="J48">
        <f t="shared" si="2"/>
        <v>101894</v>
      </c>
      <c r="L48">
        <f t="shared" si="3"/>
        <v>45.488392857142856</v>
      </c>
    </row>
    <row r="49" spans="1:12" x14ac:dyDescent="0.25">
      <c r="A49">
        <v>1704</v>
      </c>
      <c r="B49" t="s">
        <v>21</v>
      </c>
      <c r="C49" t="s">
        <v>106</v>
      </c>
      <c r="D49" t="s">
        <v>43</v>
      </c>
      <c r="J49">
        <f t="shared" si="2"/>
        <v>0</v>
      </c>
      <c r="L49">
        <f t="shared" si="3"/>
        <v>0</v>
      </c>
    </row>
    <row r="50" spans="1:12" x14ac:dyDescent="0.25">
      <c r="A50">
        <v>1704</v>
      </c>
      <c r="B50" t="s">
        <v>22</v>
      </c>
      <c r="C50" t="s">
        <v>106</v>
      </c>
      <c r="D50" t="s">
        <v>43</v>
      </c>
      <c r="H50">
        <v>20</v>
      </c>
      <c r="I50" t="s">
        <v>88</v>
      </c>
      <c r="J50">
        <f t="shared" si="2"/>
        <v>20</v>
      </c>
      <c r="L50">
        <f t="shared" si="3"/>
        <v>8.9285714285714281E-3</v>
      </c>
    </row>
    <row r="51" spans="1:12" x14ac:dyDescent="0.25">
      <c r="A51">
        <v>1704</v>
      </c>
      <c r="B51" t="s">
        <v>23</v>
      </c>
      <c r="C51" t="s">
        <v>106</v>
      </c>
      <c r="D51" t="s">
        <v>43</v>
      </c>
      <c r="J51">
        <f t="shared" si="2"/>
        <v>0</v>
      </c>
      <c r="L51">
        <f t="shared" si="3"/>
        <v>0</v>
      </c>
    </row>
    <row r="52" spans="1:12" x14ac:dyDescent="0.25">
      <c r="A52">
        <v>1704</v>
      </c>
      <c r="B52" t="s">
        <v>95</v>
      </c>
      <c r="C52" t="s">
        <v>106</v>
      </c>
      <c r="D52" t="s">
        <v>43</v>
      </c>
      <c r="H52">
        <v>100</v>
      </c>
      <c r="J52">
        <f t="shared" si="2"/>
        <v>100</v>
      </c>
      <c r="L52">
        <f t="shared" si="3"/>
        <v>4.4642857142857144E-2</v>
      </c>
    </row>
    <row r="53" spans="1:12" x14ac:dyDescent="0.25">
      <c r="A53">
        <v>1704</v>
      </c>
      <c r="B53" t="s">
        <v>25</v>
      </c>
      <c r="C53" t="s">
        <v>106</v>
      </c>
      <c r="D53" t="s">
        <v>43</v>
      </c>
      <c r="J53">
        <f t="shared" si="2"/>
        <v>0</v>
      </c>
      <c r="L53">
        <f t="shared" si="3"/>
        <v>0</v>
      </c>
    </row>
    <row r="54" spans="1:12" x14ac:dyDescent="0.25">
      <c r="A54">
        <v>1704</v>
      </c>
      <c r="B54" t="s">
        <v>26</v>
      </c>
      <c r="C54" t="s">
        <v>106</v>
      </c>
      <c r="D54" t="s">
        <v>43</v>
      </c>
      <c r="F54">
        <v>4</v>
      </c>
      <c r="G54">
        <v>2</v>
      </c>
      <c r="H54">
        <v>8</v>
      </c>
      <c r="J54">
        <f t="shared" si="2"/>
        <v>512</v>
      </c>
      <c r="L54">
        <f t="shared" si="3"/>
        <v>0.22857142857142856</v>
      </c>
    </row>
  </sheetData>
  <autoFilter ref="A1:L56" xr:uid="{055F3568-7D31-416F-8EB7-FD02AFD54C11}">
    <sortState xmlns:xlrd2="http://schemas.microsoft.com/office/spreadsheetml/2017/richdata2" ref="A2:L56">
      <sortCondition ref="D1:D5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97E6-DF13-4B1D-98CD-344BB356BA9E}">
  <dimension ref="A1:J7"/>
  <sheetViews>
    <sheetView workbookViewId="0">
      <selection activeCell="F24" sqref="F24"/>
    </sheetView>
  </sheetViews>
  <sheetFormatPr defaultRowHeight="15" x14ac:dyDescent="0.25"/>
  <cols>
    <col min="1" max="1" width="17.140625" customWidth="1"/>
    <col min="2" max="2" width="13.5703125" customWidth="1"/>
    <col min="5" max="5" width="12.42578125" customWidth="1"/>
    <col min="6" max="6" width="13.85546875" customWidth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/>
      <c r="H1" s="1" t="s">
        <v>39</v>
      </c>
      <c r="I1" s="1"/>
      <c r="J1" s="1" t="s">
        <v>40</v>
      </c>
    </row>
    <row r="2" spans="1:10" x14ac:dyDescent="0.25">
      <c r="A2" t="s">
        <v>16</v>
      </c>
      <c r="B2" t="s">
        <v>43</v>
      </c>
      <c r="H2">
        <f t="shared" ref="H2:H3" si="0">(C2*2240)+(D2*112)+(E2*28)+F2</f>
        <v>0</v>
      </c>
      <c r="I2" s="1"/>
      <c r="J2">
        <f t="shared" ref="J2:J3" si="1">H2/2240</f>
        <v>0</v>
      </c>
    </row>
    <row r="3" spans="1:10" x14ac:dyDescent="0.25">
      <c r="A3" t="s">
        <v>104</v>
      </c>
      <c r="B3" t="s">
        <v>43</v>
      </c>
      <c r="H3">
        <f t="shared" si="0"/>
        <v>0</v>
      </c>
      <c r="I3" s="1"/>
      <c r="J3">
        <f t="shared" si="1"/>
        <v>0</v>
      </c>
    </row>
    <row r="4" spans="1:10" x14ac:dyDescent="0.25">
      <c r="A4" t="s">
        <v>23</v>
      </c>
      <c r="B4" t="s">
        <v>43</v>
      </c>
      <c r="H4">
        <f>(C4*2240)+(D4*112)+(E4*28)+F4</f>
        <v>0</v>
      </c>
      <c r="J4">
        <f>H4/2240</f>
        <v>0</v>
      </c>
    </row>
    <row r="5" spans="1:10" x14ac:dyDescent="0.25">
      <c r="A5" t="s">
        <v>95</v>
      </c>
      <c r="B5" t="s">
        <v>43</v>
      </c>
      <c r="H5">
        <f t="shared" ref="H5:H7" si="2">(C5*2240)+(D5*112)+(E5*28)+F5</f>
        <v>0</v>
      </c>
      <c r="J5">
        <f t="shared" ref="J5:J7" si="3">H5/2240</f>
        <v>0</v>
      </c>
    </row>
    <row r="6" spans="1:10" x14ac:dyDescent="0.25">
      <c r="A6" t="s">
        <v>13</v>
      </c>
      <c r="B6" t="s">
        <v>43</v>
      </c>
      <c r="H6">
        <f t="shared" si="2"/>
        <v>0</v>
      </c>
      <c r="J6">
        <f t="shared" si="3"/>
        <v>0</v>
      </c>
    </row>
    <row r="7" spans="1:10" x14ac:dyDescent="0.25">
      <c r="A7" t="s">
        <v>12</v>
      </c>
      <c r="B7" t="s">
        <v>43</v>
      </c>
      <c r="H7">
        <f t="shared" si="2"/>
        <v>0</v>
      </c>
      <c r="J7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B68A-F044-46A6-AB28-F99E4BEB1D06}">
  <dimension ref="A1:L69"/>
  <sheetViews>
    <sheetView topLeftCell="A19" zoomScaleNormal="100" workbookViewId="0">
      <selection activeCell="H14" sqref="H14"/>
    </sheetView>
  </sheetViews>
  <sheetFormatPr defaultRowHeight="15" x14ac:dyDescent="0.25"/>
  <cols>
    <col min="2" max="3" width="14.140625" customWidth="1"/>
  </cols>
  <sheetData>
    <row r="1" spans="1:12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</row>
    <row r="2" spans="1:12" x14ac:dyDescent="0.25">
      <c r="A2">
        <v>1704</v>
      </c>
      <c r="B2" t="s">
        <v>4</v>
      </c>
      <c r="C2" t="s">
        <v>107</v>
      </c>
      <c r="D2" t="s">
        <v>41</v>
      </c>
      <c r="H2">
        <v>2348</v>
      </c>
      <c r="J2">
        <f t="shared" ref="J2:J33" si="0">(E2*2240)+(F2*112)+(G2*28)+H2</f>
        <v>2348</v>
      </c>
      <c r="L2">
        <f t="shared" ref="L2:L33" si="1">J2/2240</f>
        <v>1.0482142857142858</v>
      </c>
    </row>
    <row r="3" spans="1:12" x14ac:dyDescent="0.25">
      <c r="A3">
        <v>1704</v>
      </c>
      <c r="B3" t="s">
        <v>6</v>
      </c>
      <c r="C3" t="s">
        <v>107</v>
      </c>
      <c r="D3" t="s">
        <v>41</v>
      </c>
      <c r="J3">
        <f t="shared" si="0"/>
        <v>0</v>
      </c>
      <c r="L3">
        <f t="shared" si="1"/>
        <v>0</v>
      </c>
    </row>
    <row r="4" spans="1:12" x14ac:dyDescent="0.25">
      <c r="A4">
        <v>1704</v>
      </c>
      <c r="B4" t="s">
        <v>8</v>
      </c>
      <c r="C4" t="s">
        <v>107</v>
      </c>
      <c r="D4" t="s">
        <v>41</v>
      </c>
      <c r="F4">
        <v>69528</v>
      </c>
      <c r="G4">
        <v>3</v>
      </c>
      <c r="H4">
        <v>5</v>
      </c>
      <c r="J4">
        <f t="shared" si="0"/>
        <v>7787225</v>
      </c>
      <c r="L4">
        <f t="shared" si="1"/>
        <v>3476.4397321428573</v>
      </c>
    </row>
    <row r="5" spans="1:12" x14ac:dyDescent="0.25">
      <c r="A5">
        <v>1704</v>
      </c>
      <c r="B5" t="s">
        <v>9</v>
      </c>
      <c r="C5" t="s">
        <v>107</v>
      </c>
      <c r="D5" t="s">
        <v>41</v>
      </c>
      <c r="J5">
        <f t="shared" si="0"/>
        <v>0</v>
      </c>
      <c r="L5">
        <f t="shared" si="1"/>
        <v>0</v>
      </c>
    </row>
    <row r="6" spans="1:12" x14ac:dyDescent="0.25">
      <c r="A6">
        <v>1704</v>
      </c>
      <c r="B6" t="s">
        <v>73</v>
      </c>
      <c r="C6" t="s">
        <v>107</v>
      </c>
      <c r="D6" t="s">
        <v>41</v>
      </c>
      <c r="H6">
        <v>3240</v>
      </c>
      <c r="J6">
        <f t="shared" si="0"/>
        <v>3240</v>
      </c>
      <c r="L6">
        <f t="shared" si="1"/>
        <v>1.4464285714285714</v>
      </c>
    </row>
    <row r="7" spans="1:12" x14ac:dyDescent="0.25">
      <c r="A7">
        <v>1704</v>
      </c>
      <c r="B7" t="s">
        <v>10</v>
      </c>
      <c r="C7" t="s">
        <v>107</v>
      </c>
      <c r="D7" t="s">
        <v>41</v>
      </c>
      <c r="H7">
        <v>183</v>
      </c>
      <c r="J7">
        <f t="shared" si="0"/>
        <v>183</v>
      </c>
      <c r="L7">
        <f t="shared" si="1"/>
        <v>8.1696428571428573E-2</v>
      </c>
    </row>
    <row r="8" spans="1:12" x14ac:dyDescent="0.25">
      <c r="A8">
        <v>1704</v>
      </c>
      <c r="B8" t="s">
        <v>48</v>
      </c>
      <c r="C8" t="s">
        <v>107</v>
      </c>
      <c r="D8" t="s">
        <v>41</v>
      </c>
      <c r="J8">
        <f t="shared" si="0"/>
        <v>0</v>
      </c>
      <c r="L8">
        <f t="shared" si="1"/>
        <v>0</v>
      </c>
    </row>
    <row r="9" spans="1:12" x14ac:dyDescent="0.25">
      <c r="A9">
        <v>1704</v>
      </c>
      <c r="B9" t="s">
        <v>12</v>
      </c>
      <c r="C9" t="s">
        <v>107</v>
      </c>
      <c r="D9" t="s">
        <v>41</v>
      </c>
      <c r="F9">
        <v>384</v>
      </c>
      <c r="H9">
        <v>18</v>
      </c>
      <c r="J9">
        <f t="shared" si="0"/>
        <v>43026</v>
      </c>
      <c r="L9">
        <f t="shared" si="1"/>
        <v>19.208035714285714</v>
      </c>
    </row>
    <row r="10" spans="1:12" x14ac:dyDescent="0.25">
      <c r="A10">
        <v>1704</v>
      </c>
      <c r="B10" t="s">
        <v>50</v>
      </c>
      <c r="C10" t="s">
        <v>107</v>
      </c>
      <c r="D10" t="s">
        <v>41</v>
      </c>
      <c r="J10">
        <f t="shared" si="0"/>
        <v>0</v>
      </c>
      <c r="L10">
        <f t="shared" si="1"/>
        <v>0</v>
      </c>
    </row>
    <row r="11" spans="1:12" x14ac:dyDescent="0.25">
      <c r="A11">
        <v>1704</v>
      </c>
      <c r="B11" t="s">
        <v>56</v>
      </c>
      <c r="C11" t="s">
        <v>107</v>
      </c>
      <c r="D11" t="s">
        <v>41</v>
      </c>
      <c r="J11">
        <f t="shared" si="0"/>
        <v>0</v>
      </c>
      <c r="L11">
        <f t="shared" si="1"/>
        <v>0</v>
      </c>
    </row>
    <row r="12" spans="1:12" x14ac:dyDescent="0.25">
      <c r="A12">
        <v>1704</v>
      </c>
      <c r="B12" t="s">
        <v>59</v>
      </c>
      <c r="C12" t="s">
        <v>107</v>
      </c>
      <c r="D12" t="s">
        <v>41</v>
      </c>
      <c r="H12">
        <v>2000</v>
      </c>
      <c r="J12">
        <f t="shared" si="0"/>
        <v>2000</v>
      </c>
      <c r="L12">
        <f t="shared" si="1"/>
        <v>0.8928571428571429</v>
      </c>
    </row>
    <row r="13" spans="1:12" x14ac:dyDescent="0.25">
      <c r="A13">
        <v>1704</v>
      </c>
      <c r="B13" t="s">
        <v>13</v>
      </c>
      <c r="C13" t="s">
        <v>107</v>
      </c>
      <c r="D13" t="s">
        <v>41</v>
      </c>
      <c r="H13">
        <f>599.5*200</f>
        <v>119900</v>
      </c>
      <c r="I13" t="s">
        <v>76</v>
      </c>
      <c r="J13">
        <f t="shared" si="0"/>
        <v>119900</v>
      </c>
      <c r="L13">
        <f t="shared" si="1"/>
        <v>53.526785714285715</v>
      </c>
    </row>
    <row r="14" spans="1:12" x14ac:dyDescent="0.25">
      <c r="A14">
        <v>1704</v>
      </c>
      <c r="B14" t="s">
        <v>14</v>
      </c>
      <c r="C14" t="s">
        <v>107</v>
      </c>
      <c r="D14" t="s">
        <v>41</v>
      </c>
      <c r="F14">
        <v>12832</v>
      </c>
      <c r="H14">
        <v>15</v>
      </c>
      <c r="J14">
        <f t="shared" si="0"/>
        <v>1437199</v>
      </c>
      <c r="L14">
        <f t="shared" si="1"/>
        <v>641.60669642857147</v>
      </c>
    </row>
    <row r="15" spans="1:12" x14ac:dyDescent="0.25">
      <c r="A15">
        <v>1704</v>
      </c>
      <c r="B15" t="s">
        <v>15</v>
      </c>
      <c r="C15" t="s">
        <v>107</v>
      </c>
      <c r="D15" t="s">
        <v>41</v>
      </c>
      <c r="F15">
        <v>127</v>
      </c>
      <c r="H15">
        <v>13</v>
      </c>
      <c r="J15">
        <f t="shared" si="0"/>
        <v>14237</v>
      </c>
      <c r="L15">
        <f t="shared" si="1"/>
        <v>6.355803571428571</v>
      </c>
    </row>
    <row r="16" spans="1:12" x14ac:dyDescent="0.25">
      <c r="A16">
        <v>1704</v>
      </c>
      <c r="B16" t="s">
        <v>49</v>
      </c>
      <c r="C16" t="s">
        <v>107</v>
      </c>
      <c r="D16" t="s">
        <v>41</v>
      </c>
      <c r="H16">
        <v>43</v>
      </c>
      <c r="J16">
        <f t="shared" si="0"/>
        <v>43</v>
      </c>
      <c r="L16">
        <f t="shared" si="1"/>
        <v>1.9196428571428573E-2</v>
      </c>
    </row>
    <row r="17" spans="1:12" x14ac:dyDescent="0.25">
      <c r="A17">
        <v>1704</v>
      </c>
      <c r="B17" t="s">
        <v>16</v>
      </c>
      <c r="C17" t="s">
        <v>107</v>
      </c>
      <c r="D17" t="s">
        <v>41</v>
      </c>
      <c r="H17">
        <v>111586</v>
      </c>
      <c r="J17">
        <f t="shared" si="0"/>
        <v>111586</v>
      </c>
      <c r="L17">
        <f t="shared" si="1"/>
        <v>49.815178571428568</v>
      </c>
    </row>
    <row r="18" spans="1:12" x14ac:dyDescent="0.25">
      <c r="A18">
        <v>1704</v>
      </c>
      <c r="B18" t="s">
        <v>58</v>
      </c>
      <c r="C18" t="s">
        <v>107</v>
      </c>
      <c r="D18" t="s">
        <v>41</v>
      </c>
      <c r="J18">
        <f t="shared" si="0"/>
        <v>0</v>
      </c>
      <c r="L18">
        <f t="shared" si="1"/>
        <v>0</v>
      </c>
    </row>
    <row r="19" spans="1:12" x14ac:dyDescent="0.25">
      <c r="A19">
        <v>1704</v>
      </c>
      <c r="B19" t="s">
        <v>17</v>
      </c>
      <c r="C19" t="s">
        <v>107</v>
      </c>
      <c r="D19" t="s">
        <v>41</v>
      </c>
      <c r="E19">
        <v>1</v>
      </c>
      <c r="F19">
        <v>15</v>
      </c>
      <c r="J19">
        <f t="shared" si="0"/>
        <v>3920</v>
      </c>
      <c r="L19">
        <f t="shared" si="1"/>
        <v>1.75</v>
      </c>
    </row>
    <row r="20" spans="1:12" x14ac:dyDescent="0.25">
      <c r="A20">
        <v>1704</v>
      </c>
      <c r="B20" t="s">
        <v>18</v>
      </c>
      <c r="C20" t="s">
        <v>107</v>
      </c>
      <c r="D20" t="s">
        <v>41</v>
      </c>
      <c r="H20">
        <v>31519</v>
      </c>
      <c r="I20" t="s">
        <v>77</v>
      </c>
      <c r="J20">
        <f t="shared" si="0"/>
        <v>31519</v>
      </c>
      <c r="L20">
        <f t="shared" si="1"/>
        <v>14.070982142857142</v>
      </c>
    </row>
    <row r="21" spans="1:12" x14ac:dyDescent="0.25">
      <c r="A21">
        <v>1704</v>
      </c>
      <c r="B21" t="s">
        <v>32</v>
      </c>
      <c r="C21" t="s">
        <v>107</v>
      </c>
      <c r="D21" t="s">
        <v>41</v>
      </c>
      <c r="J21">
        <f t="shared" si="0"/>
        <v>0</v>
      </c>
      <c r="L21">
        <f t="shared" si="1"/>
        <v>0</v>
      </c>
    </row>
    <row r="22" spans="1:12" x14ac:dyDescent="0.25">
      <c r="A22">
        <v>1704</v>
      </c>
      <c r="B22" t="s">
        <v>19</v>
      </c>
      <c r="C22" t="s">
        <v>107</v>
      </c>
      <c r="D22" t="s">
        <v>41</v>
      </c>
      <c r="J22">
        <f t="shared" si="0"/>
        <v>0</v>
      </c>
      <c r="L22">
        <f t="shared" si="1"/>
        <v>0</v>
      </c>
    </row>
    <row r="23" spans="1:12" x14ac:dyDescent="0.25">
      <c r="A23">
        <v>1704</v>
      </c>
      <c r="B23" t="s">
        <v>20</v>
      </c>
      <c r="C23" t="s">
        <v>107</v>
      </c>
      <c r="D23" t="s">
        <v>41</v>
      </c>
      <c r="H23">
        <v>48329</v>
      </c>
      <c r="J23">
        <f t="shared" si="0"/>
        <v>48329</v>
      </c>
      <c r="L23">
        <f t="shared" si="1"/>
        <v>21.575446428571428</v>
      </c>
    </row>
    <row r="24" spans="1:12" x14ac:dyDescent="0.25">
      <c r="A24">
        <v>1704</v>
      </c>
      <c r="B24" t="s">
        <v>21</v>
      </c>
      <c r="C24" t="s">
        <v>107</v>
      </c>
      <c r="D24" t="s">
        <v>41</v>
      </c>
      <c r="J24">
        <f t="shared" si="0"/>
        <v>0</v>
      </c>
      <c r="L24">
        <f t="shared" si="1"/>
        <v>0</v>
      </c>
    </row>
    <row r="25" spans="1:12" x14ac:dyDescent="0.25">
      <c r="A25">
        <v>1704</v>
      </c>
      <c r="B25" t="s">
        <v>22</v>
      </c>
      <c r="C25" t="s">
        <v>107</v>
      </c>
      <c r="D25" t="s">
        <v>41</v>
      </c>
      <c r="H25">
        <v>3452</v>
      </c>
      <c r="I25" t="s">
        <v>78</v>
      </c>
      <c r="J25">
        <f t="shared" si="0"/>
        <v>3452</v>
      </c>
      <c r="L25">
        <f t="shared" si="1"/>
        <v>1.5410714285714286</v>
      </c>
    </row>
    <row r="26" spans="1:12" x14ac:dyDescent="0.25">
      <c r="A26">
        <v>1704</v>
      </c>
      <c r="B26" t="s">
        <v>31</v>
      </c>
      <c r="C26" t="s">
        <v>107</v>
      </c>
      <c r="D26" t="s">
        <v>41</v>
      </c>
      <c r="J26">
        <f t="shared" si="0"/>
        <v>0</v>
      </c>
      <c r="L26">
        <f t="shared" si="1"/>
        <v>0</v>
      </c>
    </row>
    <row r="27" spans="1:12" x14ac:dyDescent="0.25">
      <c r="A27">
        <v>1704</v>
      </c>
      <c r="B27" t="s">
        <v>23</v>
      </c>
      <c r="C27" t="s">
        <v>107</v>
      </c>
      <c r="D27" t="s">
        <v>41</v>
      </c>
      <c r="F27">
        <v>10</v>
      </c>
      <c r="G27">
        <v>2</v>
      </c>
      <c r="H27">
        <v>14</v>
      </c>
      <c r="J27">
        <f t="shared" si="0"/>
        <v>1190</v>
      </c>
      <c r="L27">
        <f t="shared" si="1"/>
        <v>0.53125</v>
      </c>
    </row>
    <row r="28" spans="1:12" x14ac:dyDescent="0.25">
      <c r="A28">
        <v>1704</v>
      </c>
      <c r="B28" t="s">
        <v>54</v>
      </c>
      <c r="C28" t="s">
        <v>107</v>
      </c>
      <c r="D28" t="s">
        <v>41</v>
      </c>
      <c r="J28">
        <f t="shared" si="0"/>
        <v>0</v>
      </c>
      <c r="L28">
        <f t="shared" si="1"/>
        <v>0</v>
      </c>
    </row>
    <row r="29" spans="1:12" x14ac:dyDescent="0.25">
      <c r="A29">
        <v>1704</v>
      </c>
      <c r="B29" t="s">
        <v>74</v>
      </c>
      <c r="C29" t="s">
        <v>107</v>
      </c>
      <c r="D29" t="s">
        <v>41</v>
      </c>
      <c r="H29">
        <v>1151</v>
      </c>
      <c r="I29" t="s">
        <v>75</v>
      </c>
      <c r="J29">
        <f t="shared" si="0"/>
        <v>1151</v>
      </c>
      <c r="L29">
        <f t="shared" si="1"/>
        <v>0.51383928571428572</v>
      </c>
    </row>
    <row r="30" spans="1:12" x14ac:dyDescent="0.25">
      <c r="A30">
        <v>1704</v>
      </c>
      <c r="B30" t="s">
        <v>95</v>
      </c>
      <c r="C30" t="s">
        <v>107</v>
      </c>
      <c r="D30" t="s">
        <v>41</v>
      </c>
      <c r="H30">
        <v>538</v>
      </c>
      <c r="J30">
        <f t="shared" si="0"/>
        <v>538</v>
      </c>
      <c r="L30">
        <f t="shared" si="1"/>
        <v>0.24017857142857144</v>
      </c>
    </row>
    <row r="31" spans="1:12" x14ac:dyDescent="0.25">
      <c r="A31">
        <v>1704</v>
      </c>
      <c r="B31" t="s">
        <v>28</v>
      </c>
      <c r="C31" t="s">
        <v>107</v>
      </c>
      <c r="D31" t="s">
        <v>41</v>
      </c>
      <c r="J31">
        <f t="shared" si="0"/>
        <v>0</v>
      </c>
      <c r="L31">
        <f t="shared" si="1"/>
        <v>0</v>
      </c>
    </row>
    <row r="32" spans="1:12" x14ac:dyDescent="0.25">
      <c r="A32">
        <v>1704</v>
      </c>
      <c r="B32" t="s">
        <v>24</v>
      </c>
      <c r="C32" t="s">
        <v>107</v>
      </c>
      <c r="D32" t="s">
        <v>41</v>
      </c>
      <c r="H32">
        <v>53690</v>
      </c>
      <c r="J32">
        <f t="shared" si="0"/>
        <v>53690</v>
      </c>
      <c r="L32">
        <f t="shared" si="1"/>
        <v>23.96875</v>
      </c>
    </row>
    <row r="33" spans="1:12" x14ac:dyDescent="0.25">
      <c r="A33">
        <v>1704</v>
      </c>
      <c r="B33" t="s">
        <v>25</v>
      </c>
      <c r="C33" t="s">
        <v>107</v>
      </c>
      <c r="D33" t="s">
        <v>41</v>
      </c>
      <c r="H33">
        <v>1460</v>
      </c>
      <c r="J33">
        <f t="shared" si="0"/>
        <v>1460</v>
      </c>
      <c r="L33">
        <f t="shared" si="1"/>
        <v>0.6517857142857143</v>
      </c>
    </row>
    <row r="34" spans="1:12" x14ac:dyDescent="0.25">
      <c r="A34">
        <v>1704</v>
      </c>
      <c r="B34" t="s">
        <v>26</v>
      </c>
      <c r="C34" t="s">
        <v>107</v>
      </c>
      <c r="D34" t="s">
        <v>41</v>
      </c>
      <c r="F34">
        <v>65</v>
      </c>
      <c r="G34">
        <v>2</v>
      </c>
      <c r="H34">
        <v>19</v>
      </c>
      <c r="J34">
        <f t="shared" ref="J34:J58" si="2">(E34*2240)+(F34*112)+(G34*28)+H34</f>
        <v>7355</v>
      </c>
      <c r="L34">
        <f t="shared" ref="L34:L58" si="3">J34/2240</f>
        <v>3.2834821428571428</v>
      </c>
    </row>
    <row r="35" spans="1:12" x14ac:dyDescent="0.25">
      <c r="A35">
        <v>1704</v>
      </c>
      <c r="B35" t="s">
        <v>102</v>
      </c>
      <c r="C35" t="s">
        <v>107</v>
      </c>
      <c r="D35" t="s">
        <v>41</v>
      </c>
      <c r="F35">
        <v>16</v>
      </c>
      <c r="G35">
        <v>1</v>
      </c>
      <c r="J35">
        <f t="shared" si="2"/>
        <v>1820</v>
      </c>
      <c r="L35">
        <f t="shared" si="3"/>
        <v>0.8125</v>
      </c>
    </row>
    <row r="36" spans="1:12" x14ac:dyDescent="0.25">
      <c r="A36">
        <v>1704</v>
      </c>
      <c r="B36" t="s">
        <v>103</v>
      </c>
      <c r="C36" t="s">
        <v>107</v>
      </c>
      <c r="D36" t="s">
        <v>41</v>
      </c>
      <c r="E36">
        <v>161</v>
      </c>
      <c r="F36">
        <v>2</v>
      </c>
      <c r="G36">
        <v>2</v>
      </c>
      <c r="J36">
        <f t="shared" si="2"/>
        <v>360920</v>
      </c>
      <c r="L36">
        <f t="shared" si="3"/>
        <v>161.125</v>
      </c>
    </row>
    <row r="37" spans="1:12" x14ac:dyDescent="0.25">
      <c r="A37">
        <v>1704</v>
      </c>
      <c r="B37" t="s">
        <v>104</v>
      </c>
      <c r="C37" t="s">
        <v>107</v>
      </c>
      <c r="D37" t="s">
        <v>41</v>
      </c>
      <c r="E37">
        <v>307</v>
      </c>
      <c r="F37">
        <v>8</v>
      </c>
      <c r="G37">
        <v>3</v>
      </c>
      <c r="H37">
        <v>24</v>
      </c>
      <c r="J37">
        <f t="shared" si="2"/>
        <v>688684</v>
      </c>
      <c r="L37">
        <f t="shared" si="3"/>
        <v>307.4482142857143</v>
      </c>
    </row>
    <row r="38" spans="1:12" x14ac:dyDescent="0.25">
      <c r="A38">
        <v>1704</v>
      </c>
      <c r="B38" t="s">
        <v>112</v>
      </c>
      <c r="C38" t="s">
        <v>107</v>
      </c>
      <c r="D38" t="s">
        <v>41</v>
      </c>
      <c r="E38">
        <v>17</v>
      </c>
      <c r="F38">
        <v>13</v>
      </c>
      <c r="J38">
        <f t="shared" si="2"/>
        <v>39536</v>
      </c>
      <c r="L38">
        <f t="shared" si="3"/>
        <v>17.649999999999999</v>
      </c>
    </row>
    <row r="39" spans="1:12" x14ac:dyDescent="0.25">
      <c r="A39">
        <v>1704</v>
      </c>
      <c r="B39" t="s">
        <v>105</v>
      </c>
      <c r="C39" t="s">
        <v>107</v>
      </c>
      <c r="D39" t="s">
        <v>41</v>
      </c>
      <c r="F39">
        <v>70</v>
      </c>
      <c r="J39">
        <f t="shared" si="2"/>
        <v>7840</v>
      </c>
      <c r="L39">
        <f t="shared" si="3"/>
        <v>3.5</v>
      </c>
    </row>
    <row r="40" spans="1:12" x14ac:dyDescent="0.25">
      <c r="A40">
        <v>1704</v>
      </c>
      <c r="B40" t="s">
        <v>57</v>
      </c>
      <c r="C40" t="s">
        <v>107</v>
      </c>
      <c r="D40" t="s">
        <v>41</v>
      </c>
      <c r="J40">
        <f t="shared" si="2"/>
        <v>0</v>
      </c>
      <c r="L40">
        <f t="shared" si="3"/>
        <v>0</v>
      </c>
    </row>
    <row r="41" spans="1:12" x14ac:dyDescent="0.25">
      <c r="A41">
        <v>1704</v>
      </c>
      <c r="B41" t="s">
        <v>4</v>
      </c>
      <c r="C41" t="s">
        <v>107</v>
      </c>
      <c r="D41" t="s">
        <v>43</v>
      </c>
      <c r="H41">
        <v>2172</v>
      </c>
      <c r="J41">
        <f t="shared" si="2"/>
        <v>2172</v>
      </c>
      <c r="L41">
        <f t="shared" si="3"/>
        <v>0.96964285714285714</v>
      </c>
    </row>
    <row r="42" spans="1:12" x14ac:dyDescent="0.25">
      <c r="A42">
        <v>1704</v>
      </c>
      <c r="B42" t="s">
        <v>8</v>
      </c>
      <c r="C42" t="s">
        <v>107</v>
      </c>
      <c r="D42" t="s">
        <v>43</v>
      </c>
      <c r="F42">
        <v>25263</v>
      </c>
      <c r="G42">
        <v>1</v>
      </c>
      <c r="H42">
        <v>18</v>
      </c>
      <c r="J42">
        <f t="shared" si="2"/>
        <v>2829502</v>
      </c>
      <c r="L42">
        <f t="shared" si="3"/>
        <v>1263.1705357142857</v>
      </c>
    </row>
    <row r="43" spans="1:12" x14ac:dyDescent="0.25">
      <c r="A43">
        <v>1704</v>
      </c>
      <c r="B43" t="s">
        <v>73</v>
      </c>
      <c r="C43" t="s">
        <v>107</v>
      </c>
      <c r="D43" t="s">
        <v>43</v>
      </c>
      <c r="H43">
        <v>352</v>
      </c>
      <c r="J43">
        <f t="shared" si="2"/>
        <v>352</v>
      </c>
      <c r="L43">
        <f t="shared" si="3"/>
        <v>0.15714285714285714</v>
      </c>
    </row>
    <row r="44" spans="1:12" x14ac:dyDescent="0.25">
      <c r="A44">
        <v>1704</v>
      </c>
      <c r="B44" t="s">
        <v>10</v>
      </c>
      <c r="C44" t="s">
        <v>107</v>
      </c>
      <c r="D44" t="s">
        <v>43</v>
      </c>
      <c r="H44">
        <v>7</v>
      </c>
      <c r="J44">
        <f t="shared" si="2"/>
        <v>7</v>
      </c>
      <c r="L44">
        <f t="shared" si="3"/>
        <v>3.1250000000000002E-3</v>
      </c>
    </row>
    <row r="45" spans="1:12" x14ac:dyDescent="0.25">
      <c r="A45">
        <v>1704</v>
      </c>
      <c r="B45" t="s">
        <v>12</v>
      </c>
      <c r="C45" t="s">
        <v>107</v>
      </c>
      <c r="D45" t="s">
        <v>43</v>
      </c>
      <c r="F45">
        <v>134</v>
      </c>
      <c r="G45">
        <v>1</v>
      </c>
      <c r="H45">
        <v>18</v>
      </c>
      <c r="J45">
        <f t="shared" si="2"/>
        <v>15054</v>
      </c>
      <c r="L45">
        <f t="shared" si="3"/>
        <v>6.7205357142857141</v>
      </c>
    </row>
    <row r="46" spans="1:12" x14ac:dyDescent="0.25">
      <c r="A46">
        <v>1704</v>
      </c>
      <c r="B46" t="s">
        <v>56</v>
      </c>
      <c r="C46" t="s">
        <v>107</v>
      </c>
      <c r="D46" t="s">
        <v>43</v>
      </c>
      <c r="J46">
        <f t="shared" si="2"/>
        <v>0</v>
      </c>
      <c r="L46">
        <f t="shared" si="3"/>
        <v>0</v>
      </c>
    </row>
    <row r="47" spans="1:12" x14ac:dyDescent="0.25">
      <c r="A47">
        <v>1704</v>
      </c>
      <c r="B47" t="s">
        <v>59</v>
      </c>
      <c r="C47" t="s">
        <v>107</v>
      </c>
      <c r="D47" t="s">
        <v>43</v>
      </c>
      <c r="H47">
        <v>2068</v>
      </c>
      <c r="J47">
        <f t="shared" si="2"/>
        <v>2068</v>
      </c>
      <c r="L47">
        <f t="shared" si="3"/>
        <v>0.92321428571428577</v>
      </c>
    </row>
    <row r="48" spans="1:12" x14ac:dyDescent="0.25">
      <c r="A48">
        <v>1704</v>
      </c>
      <c r="B48" t="s">
        <v>13</v>
      </c>
      <c r="C48" t="s">
        <v>107</v>
      </c>
      <c r="D48" t="s">
        <v>43</v>
      </c>
      <c r="F48">
        <v>956</v>
      </c>
      <c r="G48">
        <v>1</v>
      </c>
      <c r="H48">
        <v>1</v>
      </c>
      <c r="J48">
        <f t="shared" si="2"/>
        <v>107101</v>
      </c>
      <c r="L48">
        <f t="shared" si="3"/>
        <v>47.812946428571429</v>
      </c>
    </row>
    <row r="49" spans="1:12" x14ac:dyDescent="0.25">
      <c r="A49">
        <v>1704</v>
      </c>
      <c r="B49" t="s">
        <v>14</v>
      </c>
      <c r="C49" t="s">
        <v>107</v>
      </c>
      <c r="D49" t="s">
        <v>43</v>
      </c>
      <c r="F49">
        <v>2557</v>
      </c>
      <c r="G49">
        <v>2</v>
      </c>
      <c r="H49">
        <v>21</v>
      </c>
      <c r="J49">
        <f t="shared" si="2"/>
        <v>286461</v>
      </c>
      <c r="L49">
        <f t="shared" si="3"/>
        <v>127.88437500000001</v>
      </c>
    </row>
    <row r="50" spans="1:12" x14ac:dyDescent="0.25">
      <c r="A50">
        <v>1704</v>
      </c>
      <c r="B50" t="s">
        <v>15</v>
      </c>
      <c r="C50" t="s">
        <v>107</v>
      </c>
      <c r="D50" t="s">
        <v>43</v>
      </c>
      <c r="F50">
        <v>10</v>
      </c>
      <c r="H50">
        <v>5</v>
      </c>
      <c r="J50">
        <f t="shared" si="2"/>
        <v>1125</v>
      </c>
      <c r="L50">
        <f t="shared" si="3"/>
        <v>0.5022321428571429</v>
      </c>
    </row>
    <row r="51" spans="1:12" x14ac:dyDescent="0.25">
      <c r="A51">
        <v>1704</v>
      </c>
      <c r="B51" t="s">
        <v>16</v>
      </c>
      <c r="C51" t="s">
        <v>107</v>
      </c>
      <c r="D51" t="s">
        <v>43</v>
      </c>
      <c r="H51">
        <v>37606</v>
      </c>
      <c r="J51">
        <f t="shared" si="2"/>
        <v>37606</v>
      </c>
      <c r="L51">
        <f t="shared" si="3"/>
        <v>16.788392857142856</v>
      </c>
    </row>
    <row r="52" spans="1:12" x14ac:dyDescent="0.25">
      <c r="A52">
        <v>1704</v>
      </c>
      <c r="B52" t="s">
        <v>17</v>
      </c>
      <c r="C52" t="s">
        <v>107</v>
      </c>
      <c r="D52" t="s">
        <v>43</v>
      </c>
      <c r="J52">
        <f t="shared" si="2"/>
        <v>0</v>
      </c>
      <c r="L52">
        <f t="shared" si="3"/>
        <v>0</v>
      </c>
    </row>
    <row r="53" spans="1:12" x14ac:dyDescent="0.25">
      <c r="A53">
        <v>1704</v>
      </c>
      <c r="B53" t="s">
        <v>18</v>
      </c>
      <c r="C53" t="s">
        <v>107</v>
      </c>
      <c r="D53" t="s">
        <v>43</v>
      </c>
      <c r="H53">
        <v>14059</v>
      </c>
      <c r="I53" t="s">
        <v>90</v>
      </c>
      <c r="J53">
        <f t="shared" si="2"/>
        <v>14059</v>
      </c>
      <c r="L53">
        <f t="shared" si="3"/>
        <v>6.2763392857142861</v>
      </c>
    </row>
    <row r="54" spans="1:12" x14ac:dyDescent="0.25">
      <c r="A54">
        <v>1704</v>
      </c>
      <c r="B54" t="s">
        <v>19</v>
      </c>
      <c r="C54" t="s">
        <v>107</v>
      </c>
      <c r="D54" t="s">
        <v>43</v>
      </c>
      <c r="J54">
        <f t="shared" si="2"/>
        <v>0</v>
      </c>
      <c r="L54">
        <f t="shared" si="3"/>
        <v>0</v>
      </c>
    </row>
    <row r="55" spans="1:12" x14ac:dyDescent="0.25">
      <c r="A55">
        <v>1704</v>
      </c>
      <c r="B55" t="s">
        <v>20</v>
      </c>
      <c r="C55" t="s">
        <v>107</v>
      </c>
      <c r="D55" t="s">
        <v>43</v>
      </c>
      <c r="H55">
        <v>23326</v>
      </c>
      <c r="J55">
        <f t="shared" si="2"/>
        <v>23326</v>
      </c>
      <c r="L55">
        <f t="shared" si="3"/>
        <v>10.413392857142858</v>
      </c>
    </row>
    <row r="56" spans="1:12" x14ac:dyDescent="0.25">
      <c r="A56">
        <v>1704</v>
      </c>
      <c r="B56" t="s">
        <v>21</v>
      </c>
      <c r="C56" t="s">
        <v>107</v>
      </c>
      <c r="D56" t="s">
        <v>43</v>
      </c>
      <c r="F56">
        <v>191</v>
      </c>
      <c r="H56">
        <v>8</v>
      </c>
      <c r="J56">
        <f t="shared" si="2"/>
        <v>21400</v>
      </c>
      <c r="L56">
        <f t="shared" si="3"/>
        <v>9.5535714285714288</v>
      </c>
    </row>
    <row r="57" spans="1:12" x14ac:dyDescent="0.25">
      <c r="A57">
        <v>1704</v>
      </c>
      <c r="B57" t="s">
        <v>22</v>
      </c>
      <c r="C57" t="s">
        <v>107</v>
      </c>
      <c r="D57" t="s">
        <v>43</v>
      </c>
      <c r="H57">
        <v>4188</v>
      </c>
      <c r="I57" t="s">
        <v>91</v>
      </c>
      <c r="J57">
        <f t="shared" si="2"/>
        <v>4188</v>
      </c>
      <c r="L57">
        <f t="shared" si="3"/>
        <v>1.8696428571428572</v>
      </c>
    </row>
    <row r="58" spans="1:12" x14ac:dyDescent="0.25">
      <c r="A58">
        <v>1704</v>
      </c>
      <c r="B58" t="s">
        <v>31</v>
      </c>
      <c r="C58" t="s">
        <v>107</v>
      </c>
      <c r="D58" t="s">
        <v>43</v>
      </c>
      <c r="J58">
        <f t="shared" si="2"/>
        <v>0</v>
      </c>
      <c r="L58">
        <f t="shared" si="3"/>
        <v>0</v>
      </c>
    </row>
    <row r="59" spans="1:12" x14ac:dyDescent="0.25">
      <c r="A59">
        <v>1704</v>
      </c>
      <c r="B59" t="s">
        <v>23</v>
      </c>
      <c r="C59" t="s">
        <v>107</v>
      </c>
      <c r="D59" t="s">
        <v>43</v>
      </c>
      <c r="G59">
        <v>1</v>
      </c>
    </row>
    <row r="60" spans="1:12" x14ac:dyDescent="0.25">
      <c r="A60">
        <v>1704</v>
      </c>
      <c r="B60" t="s">
        <v>54</v>
      </c>
      <c r="C60" t="s">
        <v>107</v>
      </c>
      <c r="D60" t="s">
        <v>43</v>
      </c>
      <c r="H60">
        <v>560</v>
      </c>
      <c r="J60">
        <f>(E60*2240)+(F60*112)+(G60*28)+H60</f>
        <v>560</v>
      </c>
      <c r="L60">
        <f>J60/2240</f>
        <v>0.25</v>
      </c>
    </row>
    <row r="61" spans="1:12" x14ac:dyDescent="0.25">
      <c r="A61">
        <v>1704</v>
      </c>
      <c r="B61" t="s">
        <v>95</v>
      </c>
      <c r="C61" t="s">
        <v>107</v>
      </c>
      <c r="D61" t="s">
        <v>43</v>
      </c>
      <c r="H61">
        <v>195</v>
      </c>
      <c r="J61">
        <f>(E61*2240)+(F61*112)+(G61*28)+H61</f>
        <v>195</v>
      </c>
      <c r="L61">
        <f>J61/2240</f>
        <v>8.7053571428571425E-2</v>
      </c>
    </row>
    <row r="62" spans="1:12" x14ac:dyDescent="0.25">
      <c r="A62">
        <v>1704</v>
      </c>
      <c r="B62" t="s">
        <v>89</v>
      </c>
      <c r="C62" t="s">
        <v>107</v>
      </c>
      <c r="D62" t="s">
        <v>43</v>
      </c>
      <c r="F62">
        <v>30</v>
      </c>
    </row>
    <row r="63" spans="1:12" x14ac:dyDescent="0.25">
      <c r="A63">
        <v>1704</v>
      </c>
      <c r="B63" t="s">
        <v>30</v>
      </c>
      <c r="C63" t="s">
        <v>107</v>
      </c>
      <c r="D63" t="s">
        <v>43</v>
      </c>
      <c r="J63">
        <f t="shared" ref="J63:J68" si="4">(E63*2240)+(F63*112)+(G63*28)+H63</f>
        <v>0</v>
      </c>
      <c r="L63">
        <f t="shared" ref="L63:L68" si="5">J63/2240</f>
        <v>0</v>
      </c>
    </row>
    <row r="64" spans="1:12" x14ac:dyDescent="0.25">
      <c r="A64">
        <v>1704</v>
      </c>
      <c r="B64" t="s">
        <v>24</v>
      </c>
      <c r="C64" t="s">
        <v>107</v>
      </c>
      <c r="D64" t="s">
        <v>43</v>
      </c>
      <c r="J64">
        <f t="shared" si="4"/>
        <v>0</v>
      </c>
      <c r="L64">
        <f t="shared" si="5"/>
        <v>0</v>
      </c>
    </row>
    <row r="65" spans="1:12" x14ac:dyDescent="0.25">
      <c r="A65">
        <v>1704</v>
      </c>
      <c r="B65" t="s">
        <v>25</v>
      </c>
      <c r="C65" t="s">
        <v>107</v>
      </c>
      <c r="D65" t="s">
        <v>43</v>
      </c>
      <c r="H65">
        <v>374</v>
      </c>
      <c r="J65">
        <f t="shared" si="4"/>
        <v>374</v>
      </c>
      <c r="L65">
        <f t="shared" si="5"/>
        <v>0.1669642857142857</v>
      </c>
    </row>
    <row r="66" spans="1:12" x14ac:dyDescent="0.25">
      <c r="A66">
        <v>1704</v>
      </c>
      <c r="B66" t="s">
        <v>26</v>
      </c>
      <c r="C66" t="s">
        <v>107</v>
      </c>
      <c r="D66" t="s">
        <v>43</v>
      </c>
      <c r="F66">
        <v>20</v>
      </c>
      <c r="H66">
        <v>12</v>
      </c>
      <c r="J66">
        <f t="shared" si="4"/>
        <v>2252</v>
      </c>
      <c r="L66">
        <f t="shared" si="5"/>
        <v>1.0053571428571428</v>
      </c>
    </row>
    <row r="67" spans="1:12" x14ac:dyDescent="0.25">
      <c r="A67">
        <v>1704</v>
      </c>
      <c r="B67" t="s">
        <v>103</v>
      </c>
      <c r="C67" t="s">
        <v>107</v>
      </c>
      <c r="D67" t="s">
        <v>43</v>
      </c>
      <c r="F67">
        <v>1914</v>
      </c>
      <c r="G67">
        <v>2</v>
      </c>
      <c r="H67">
        <v>2</v>
      </c>
      <c r="J67">
        <f t="shared" si="4"/>
        <v>214426</v>
      </c>
      <c r="L67">
        <f t="shared" si="5"/>
        <v>95.725892857142853</v>
      </c>
    </row>
    <row r="68" spans="1:12" x14ac:dyDescent="0.25">
      <c r="A68">
        <v>1704</v>
      </c>
      <c r="B68" t="s">
        <v>104</v>
      </c>
      <c r="C68" t="s">
        <v>107</v>
      </c>
      <c r="D68" t="s">
        <v>43</v>
      </c>
      <c r="E68">
        <v>106</v>
      </c>
      <c r="F68">
        <v>8</v>
      </c>
      <c r="G68">
        <v>2</v>
      </c>
      <c r="H68">
        <v>7</v>
      </c>
      <c r="J68">
        <f t="shared" si="4"/>
        <v>238399</v>
      </c>
      <c r="L68">
        <f t="shared" si="5"/>
        <v>106.42812499999999</v>
      </c>
    </row>
    <row r="69" spans="1:12" x14ac:dyDescent="0.25">
      <c r="A69">
        <v>1704</v>
      </c>
      <c r="B69" t="s">
        <v>105</v>
      </c>
      <c r="C69" t="s">
        <v>107</v>
      </c>
      <c r="D69" t="s">
        <v>43</v>
      </c>
      <c r="F69">
        <v>47</v>
      </c>
      <c r="G69">
        <v>2</v>
      </c>
      <c r="H69">
        <v>14</v>
      </c>
    </row>
  </sheetData>
  <autoFilter ref="A1:L69" xr:uid="{0591B68A-F044-46A6-AB28-F99E4BEB1D06}">
    <sortState xmlns:xlrd2="http://schemas.microsoft.com/office/spreadsheetml/2017/richdata2" ref="A2:L69">
      <sortCondition ref="D1:D6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4FD-0705-42C7-9EE9-39CE4047ED0A}">
  <dimension ref="A1:Q29"/>
  <sheetViews>
    <sheetView zoomScaleNormal="100" workbookViewId="0">
      <selection activeCell="H7" sqref="H7"/>
    </sheetView>
  </sheetViews>
  <sheetFormatPr defaultRowHeight="15" x14ac:dyDescent="0.25"/>
  <cols>
    <col min="2" max="3" width="15.42578125" customWidth="1"/>
  </cols>
  <sheetData>
    <row r="1" spans="1:17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  <c r="O1" t="s">
        <v>55</v>
      </c>
      <c r="Q1" t="s">
        <v>46</v>
      </c>
    </row>
    <row r="2" spans="1:17" x14ac:dyDescent="0.25">
      <c r="A2">
        <v>1704</v>
      </c>
      <c r="B2" t="s">
        <v>8</v>
      </c>
      <c r="C2" t="s">
        <v>108</v>
      </c>
      <c r="D2" t="s">
        <v>41</v>
      </c>
      <c r="F2">
        <v>7875</v>
      </c>
      <c r="G2">
        <v>3</v>
      </c>
      <c r="H2">
        <v>14</v>
      </c>
      <c r="J2">
        <f t="shared" ref="J2:J29" si="0">(E2*2240)+(F2*112)+(G2*28)+H2</f>
        <v>882098</v>
      </c>
      <c r="L2">
        <f t="shared" ref="L2:L29" si="1">J2/2240</f>
        <v>393.79374999999999</v>
      </c>
    </row>
    <row r="3" spans="1:17" x14ac:dyDescent="0.25">
      <c r="A3">
        <v>1704</v>
      </c>
      <c r="B3" t="s">
        <v>10</v>
      </c>
      <c r="C3" t="s">
        <v>108</v>
      </c>
      <c r="D3" t="s">
        <v>41</v>
      </c>
      <c r="J3">
        <f t="shared" si="0"/>
        <v>0</v>
      </c>
      <c r="L3">
        <f t="shared" si="1"/>
        <v>0</v>
      </c>
    </row>
    <row r="4" spans="1:17" x14ac:dyDescent="0.25">
      <c r="A4">
        <v>1704</v>
      </c>
      <c r="B4" t="s">
        <v>12</v>
      </c>
      <c r="C4" t="s">
        <v>108</v>
      </c>
      <c r="D4" t="s">
        <v>41</v>
      </c>
      <c r="J4">
        <f t="shared" si="0"/>
        <v>0</v>
      </c>
      <c r="L4">
        <f t="shared" si="1"/>
        <v>0</v>
      </c>
    </row>
    <row r="5" spans="1:17" x14ac:dyDescent="0.25">
      <c r="A5">
        <v>1704</v>
      </c>
      <c r="B5" t="s">
        <v>59</v>
      </c>
      <c r="C5" t="s">
        <v>108</v>
      </c>
      <c r="D5" t="s">
        <v>41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7" x14ac:dyDescent="0.25">
      <c r="A6">
        <v>1704</v>
      </c>
      <c r="B6" t="s">
        <v>13</v>
      </c>
      <c r="C6" t="s">
        <v>108</v>
      </c>
      <c r="D6" t="s">
        <v>41</v>
      </c>
      <c r="H6">
        <f>16.5*200</f>
        <v>3300</v>
      </c>
      <c r="I6" t="s">
        <v>79</v>
      </c>
      <c r="J6">
        <f t="shared" si="0"/>
        <v>3300</v>
      </c>
      <c r="L6">
        <f t="shared" si="1"/>
        <v>1.4732142857142858</v>
      </c>
    </row>
    <row r="7" spans="1:17" x14ac:dyDescent="0.25">
      <c r="A7">
        <v>1704</v>
      </c>
      <c r="B7" t="s">
        <v>14</v>
      </c>
      <c r="C7" t="s">
        <v>108</v>
      </c>
      <c r="D7" t="s">
        <v>41</v>
      </c>
      <c r="J7">
        <f t="shared" si="0"/>
        <v>0</v>
      </c>
      <c r="L7">
        <f t="shared" si="1"/>
        <v>0</v>
      </c>
    </row>
    <row r="8" spans="1:17" x14ac:dyDescent="0.25">
      <c r="A8">
        <v>1704</v>
      </c>
      <c r="B8" t="s">
        <v>60</v>
      </c>
      <c r="C8" t="s">
        <v>108</v>
      </c>
      <c r="D8" t="s">
        <v>41</v>
      </c>
      <c r="J8">
        <f t="shared" si="0"/>
        <v>0</v>
      </c>
      <c r="L8">
        <f t="shared" si="1"/>
        <v>0</v>
      </c>
      <c r="O8">
        <f>L8+L13+L14+L20+L22+L24+L26+L27+L6+L15+L19+L17</f>
        <v>420.58035714285705</v>
      </c>
      <c r="Q8">
        <f>L11+L25+L10</f>
        <v>0.6473214285714286</v>
      </c>
    </row>
    <row r="9" spans="1:17" x14ac:dyDescent="0.25">
      <c r="A9">
        <v>1704</v>
      </c>
      <c r="B9" t="s">
        <v>16</v>
      </c>
      <c r="C9" t="s">
        <v>108</v>
      </c>
      <c r="D9" t="s">
        <v>41</v>
      </c>
      <c r="H9">
        <v>7337</v>
      </c>
      <c r="J9">
        <f t="shared" si="0"/>
        <v>7337</v>
      </c>
      <c r="L9">
        <f t="shared" si="1"/>
        <v>3.2754464285714286</v>
      </c>
    </row>
    <row r="10" spans="1:17" x14ac:dyDescent="0.25">
      <c r="A10">
        <v>1704</v>
      </c>
      <c r="B10" t="s">
        <v>17</v>
      </c>
      <c r="C10" t="s">
        <v>108</v>
      </c>
      <c r="D10" t="s">
        <v>41</v>
      </c>
      <c r="J10">
        <f t="shared" si="0"/>
        <v>0</v>
      </c>
      <c r="L10">
        <f t="shared" si="1"/>
        <v>0</v>
      </c>
    </row>
    <row r="11" spans="1:17" x14ac:dyDescent="0.25">
      <c r="A11">
        <v>1704</v>
      </c>
      <c r="B11" t="s">
        <v>18</v>
      </c>
      <c r="C11" t="s">
        <v>108</v>
      </c>
      <c r="D11" t="s">
        <v>41</v>
      </c>
      <c r="H11">
        <v>474</v>
      </c>
      <c r="I11" t="s">
        <v>80</v>
      </c>
      <c r="J11">
        <f t="shared" si="0"/>
        <v>474</v>
      </c>
      <c r="L11">
        <f t="shared" si="1"/>
        <v>0.21160714285714285</v>
      </c>
    </row>
    <row r="12" spans="1:17" x14ac:dyDescent="0.25">
      <c r="A12">
        <v>1704</v>
      </c>
      <c r="B12" t="s">
        <v>32</v>
      </c>
      <c r="C12" t="s">
        <v>108</v>
      </c>
      <c r="D12" t="s">
        <v>41</v>
      </c>
      <c r="J12">
        <f t="shared" si="0"/>
        <v>0</v>
      </c>
      <c r="L12">
        <f t="shared" si="1"/>
        <v>0</v>
      </c>
    </row>
    <row r="13" spans="1:17" x14ac:dyDescent="0.25">
      <c r="A13">
        <v>1704</v>
      </c>
      <c r="B13" t="s">
        <v>19</v>
      </c>
      <c r="C13" t="s">
        <v>108</v>
      </c>
      <c r="D13" t="s">
        <v>41</v>
      </c>
      <c r="J13">
        <f t="shared" si="0"/>
        <v>0</v>
      </c>
      <c r="L13">
        <f t="shared" si="1"/>
        <v>0</v>
      </c>
    </row>
    <row r="14" spans="1:17" x14ac:dyDescent="0.25">
      <c r="A14">
        <v>1704</v>
      </c>
      <c r="B14" t="s">
        <v>20</v>
      </c>
      <c r="C14" t="s">
        <v>108</v>
      </c>
      <c r="D14" t="s">
        <v>41</v>
      </c>
      <c r="H14">
        <v>1684</v>
      </c>
      <c r="J14">
        <f t="shared" si="0"/>
        <v>1684</v>
      </c>
      <c r="L14">
        <f t="shared" si="1"/>
        <v>0.75178571428571428</v>
      </c>
    </row>
    <row r="15" spans="1:17" x14ac:dyDescent="0.25">
      <c r="A15">
        <v>1704</v>
      </c>
      <c r="B15" t="s">
        <v>22</v>
      </c>
      <c r="C15" t="s">
        <v>108</v>
      </c>
      <c r="D15" t="s">
        <v>41</v>
      </c>
      <c r="J15">
        <f t="shared" si="0"/>
        <v>0</v>
      </c>
      <c r="L15">
        <f t="shared" si="1"/>
        <v>0</v>
      </c>
    </row>
    <row r="16" spans="1:17" x14ac:dyDescent="0.25">
      <c r="A16">
        <v>1704</v>
      </c>
      <c r="B16" t="s">
        <v>23</v>
      </c>
      <c r="C16" t="s">
        <v>108</v>
      </c>
      <c r="D16" t="s">
        <v>41</v>
      </c>
      <c r="J16">
        <f t="shared" si="0"/>
        <v>0</v>
      </c>
      <c r="L16">
        <f t="shared" si="1"/>
        <v>0</v>
      </c>
    </row>
    <row r="17" spans="1:12" x14ac:dyDescent="0.25">
      <c r="A17">
        <v>1704</v>
      </c>
      <c r="B17" t="s">
        <v>95</v>
      </c>
      <c r="C17" t="s">
        <v>108</v>
      </c>
      <c r="D17" t="s">
        <v>41</v>
      </c>
      <c r="J17">
        <f t="shared" si="0"/>
        <v>0</v>
      </c>
      <c r="L17">
        <f t="shared" si="1"/>
        <v>0</v>
      </c>
    </row>
    <row r="18" spans="1:12" x14ac:dyDescent="0.25">
      <c r="A18">
        <v>1704</v>
      </c>
      <c r="B18" t="s">
        <v>25</v>
      </c>
      <c r="C18" t="s">
        <v>108</v>
      </c>
      <c r="D18" t="s">
        <v>41</v>
      </c>
      <c r="J18">
        <f t="shared" si="0"/>
        <v>0</v>
      </c>
      <c r="L18">
        <f t="shared" si="1"/>
        <v>0</v>
      </c>
    </row>
    <row r="19" spans="1:12" x14ac:dyDescent="0.25">
      <c r="A19">
        <v>1704</v>
      </c>
      <c r="B19" t="s">
        <v>26</v>
      </c>
      <c r="C19" t="s">
        <v>108</v>
      </c>
      <c r="D19" t="s">
        <v>41</v>
      </c>
      <c r="J19">
        <f t="shared" si="0"/>
        <v>0</v>
      </c>
      <c r="L19">
        <f t="shared" si="1"/>
        <v>0</v>
      </c>
    </row>
    <row r="20" spans="1:12" x14ac:dyDescent="0.25">
      <c r="A20">
        <v>1704</v>
      </c>
      <c r="B20" t="s">
        <v>8</v>
      </c>
      <c r="C20" t="s">
        <v>108</v>
      </c>
      <c r="D20" t="s">
        <v>43</v>
      </c>
      <c r="F20">
        <v>8299</v>
      </c>
      <c r="G20">
        <v>3</v>
      </c>
      <c r="H20">
        <v>14</v>
      </c>
      <c r="J20">
        <f t="shared" si="0"/>
        <v>929586</v>
      </c>
      <c r="L20">
        <f t="shared" si="1"/>
        <v>414.99374999999998</v>
      </c>
    </row>
    <row r="21" spans="1:12" x14ac:dyDescent="0.25">
      <c r="A21">
        <v>1704</v>
      </c>
      <c r="B21" t="s">
        <v>45</v>
      </c>
      <c r="C21" t="s">
        <v>108</v>
      </c>
      <c r="D21" t="s">
        <v>43</v>
      </c>
      <c r="J21">
        <f t="shared" si="0"/>
        <v>0</v>
      </c>
      <c r="L21">
        <f t="shared" si="1"/>
        <v>0</v>
      </c>
    </row>
    <row r="22" spans="1:12" x14ac:dyDescent="0.25">
      <c r="A22">
        <v>1704</v>
      </c>
      <c r="B22" t="s">
        <v>12</v>
      </c>
      <c r="C22" t="s">
        <v>108</v>
      </c>
      <c r="D22" t="s">
        <v>43</v>
      </c>
      <c r="F22">
        <v>16</v>
      </c>
      <c r="G22">
        <v>2</v>
      </c>
      <c r="H22">
        <v>18</v>
      </c>
      <c r="J22">
        <f t="shared" si="0"/>
        <v>1866</v>
      </c>
      <c r="L22">
        <f t="shared" si="1"/>
        <v>0.83303571428571432</v>
      </c>
    </row>
    <row r="23" spans="1:12" x14ac:dyDescent="0.25">
      <c r="A23">
        <v>1704</v>
      </c>
      <c r="B23" t="s">
        <v>13</v>
      </c>
      <c r="C23" t="s">
        <v>108</v>
      </c>
      <c r="D23" t="s">
        <v>43</v>
      </c>
      <c r="F23">
        <v>26</v>
      </c>
      <c r="G23">
        <v>3</v>
      </c>
      <c r="H23">
        <v>8</v>
      </c>
      <c r="J23">
        <f t="shared" si="0"/>
        <v>3004</v>
      </c>
      <c r="L23">
        <f t="shared" si="1"/>
        <v>1.3410714285714285</v>
      </c>
    </row>
    <row r="24" spans="1:12" x14ac:dyDescent="0.25">
      <c r="A24">
        <v>1704</v>
      </c>
      <c r="B24" t="s">
        <v>14</v>
      </c>
      <c r="C24" t="s">
        <v>108</v>
      </c>
      <c r="D24" t="s">
        <v>43</v>
      </c>
      <c r="J24">
        <f t="shared" si="0"/>
        <v>0</v>
      </c>
      <c r="L24">
        <f t="shared" si="1"/>
        <v>0</v>
      </c>
    </row>
    <row r="25" spans="1:12" x14ac:dyDescent="0.25">
      <c r="A25">
        <v>1704</v>
      </c>
      <c r="B25" t="s">
        <v>60</v>
      </c>
      <c r="C25" t="s">
        <v>108</v>
      </c>
      <c r="D25" t="s">
        <v>43</v>
      </c>
      <c r="F25">
        <v>8</v>
      </c>
      <c r="G25">
        <v>2</v>
      </c>
      <c r="H25">
        <v>24</v>
      </c>
      <c r="J25">
        <f t="shared" si="0"/>
        <v>976</v>
      </c>
      <c r="L25">
        <f t="shared" si="1"/>
        <v>0.43571428571428572</v>
      </c>
    </row>
    <row r="26" spans="1:12" x14ac:dyDescent="0.25">
      <c r="A26">
        <v>1704</v>
      </c>
      <c r="B26" t="s">
        <v>16</v>
      </c>
      <c r="C26" t="s">
        <v>108</v>
      </c>
      <c r="D26" t="s">
        <v>43</v>
      </c>
      <c r="H26">
        <v>4190</v>
      </c>
      <c r="J26">
        <f t="shared" si="0"/>
        <v>4190</v>
      </c>
      <c r="L26">
        <f t="shared" si="1"/>
        <v>1.8705357142857142</v>
      </c>
    </row>
    <row r="27" spans="1:12" x14ac:dyDescent="0.25">
      <c r="A27">
        <v>1704</v>
      </c>
      <c r="B27" t="s">
        <v>18</v>
      </c>
      <c r="C27" t="s">
        <v>108</v>
      </c>
      <c r="D27" t="s">
        <v>43</v>
      </c>
      <c r="H27">
        <v>1474</v>
      </c>
      <c r="I27" t="s">
        <v>92</v>
      </c>
      <c r="J27">
        <f t="shared" si="0"/>
        <v>1474</v>
      </c>
      <c r="L27">
        <f t="shared" si="1"/>
        <v>0.65803571428571428</v>
      </c>
    </row>
    <row r="28" spans="1:12" x14ac:dyDescent="0.25">
      <c r="A28">
        <v>1704</v>
      </c>
      <c r="B28" t="s">
        <v>20</v>
      </c>
      <c r="C28" t="s">
        <v>108</v>
      </c>
      <c r="D28" t="s">
        <v>43</v>
      </c>
      <c r="H28">
        <v>4932</v>
      </c>
      <c r="J28">
        <f t="shared" si="0"/>
        <v>4932</v>
      </c>
      <c r="L28">
        <f t="shared" si="1"/>
        <v>2.2017857142857142</v>
      </c>
    </row>
    <row r="29" spans="1:12" x14ac:dyDescent="0.25">
      <c r="A29">
        <v>1704</v>
      </c>
      <c r="B29" t="s">
        <v>22</v>
      </c>
      <c r="C29" t="s">
        <v>108</v>
      </c>
      <c r="D29" t="s">
        <v>43</v>
      </c>
      <c r="H29">
        <v>706</v>
      </c>
      <c r="I29" t="s">
        <v>93</v>
      </c>
      <c r="J29">
        <f t="shared" si="0"/>
        <v>706</v>
      </c>
      <c r="L29">
        <f t="shared" si="1"/>
        <v>0.31517857142857142</v>
      </c>
    </row>
  </sheetData>
  <autoFilter ref="A1:Q29" xr:uid="{41E964FD-0705-42C7-9EE9-39CE4047ED0A}">
    <sortState xmlns:xlrd2="http://schemas.microsoft.com/office/spreadsheetml/2017/richdata2" ref="A2:Q29">
      <sortCondition ref="D1:D2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FED1-AE16-4C8B-9D15-E9FB9071B0C4}">
  <dimension ref="A1:L37"/>
  <sheetViews>
    <sheetView topLeftCell="A16" zoomScaleNormal="100" workbookViewId="0">
      <selection activeCell="H7" sqref="H7"/>
    </sheetView>
  </sheetViews>
  <sheetFormatPr defaultRowHeight="15" x14ac:dyDescent="0.25"/>
  <cols>
    <col min="2" max="3" width="15.85546875" customWidth="1"/>
  </cols>
  <sheetData>
    <row r="1" spans="1:12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</row>
    <row r="2" spans="1:12" x14ac:dyDescent="0.25">
      <c r="A2">
        <v>1704</v>
      </c>
      <c r="B2" t="s">
        <v>8</v>
      </c>
      <c r="C2" t="s">
        <v>109</v>
      </c>
      <c r="D2" t="s">
        <v>41</v>
      </c>
      <c r="F2">
        <v>33514</v>
      </c>
      <c r="G2">
        <v>1</v>
      </c>
      <c r="H2">
        <v>7</v>
      </c>
      <c r="J2">
        <f t="shared" ref="J2:J37" si="0">(E2*2240)+(F2*112)+(G2*28)+(H2)</f>
        <v>3753603</v>
      </c>
      <c r="L2">
        <f t="shared" ref="L2:L37" si="1">J2/2240</f>
        <v>1675.715625</v>
      </c>
    </row>
    <row r="3" spans="1:12" x14ac:dyDescent="0.25">
      <c r="A3">
        <v>1704</v>
      </c>
      <c r="B3" t="s">
        <v>10</v>
      </c>
      <c r="C3" t="s">
        <v>109</v>
      </c>
      <c r="D3" t="s">
        <v>41</v>
      </c>
      <c r="J3">
        <f t="shared" si="0"/>
        <v>0</v>
      </c>
      <c r="L3">
        <f t="shared" si="1"/>
        <v>0</v>
      </c>
    </row>
    <row r="4" spans="1:12" x14ac:dyDescent="0.25">
      <c r="A4">
        <v>1704</v>
      </c>
      <c r="B4" t="s">
        <v>12</v>
      </c>
      <c r="C4" t="s">
        <v>109</v>
      </c>
      <c r="D4" t="s">
        <v>41</v>
      </c>
      <c r="F4">
        <v>65</v>
      </c>
      <c r="G4">
        <v>2</v>
      </c>
      <c r="H4">
        <v>19</v>
      </c>
      <c r="J4">
        <f t="shared" si="0"/>
        <v>7355</v>
      </c>
      <c r="L4">
        <f t="shared" si="1"/>
        <v>3.2834821428571428</v>
      </c>
    </row>
    <row r="5" spans="1:12" x14ac:dyDescent="0.25">
      <c r="A5">
        <v>1704</v>
      </c>
      <c r="B5" t="s">
        <v>59</v>
      </c>
      <c r="C5" t="s">
        <v>109</v>
      </c>
      <c r="D5" t="s">
        <v>41</v>
      </c>
      <c r="J5">
        <f t="shared" si="0"/>
        <v>0</v>
      </c>
      <c r="L5">
        <f t="shared" si="1"/>
        <v>0</v>
      </c>
    </row>
    <row r="6" spans="1:12" x14ac:dyDescent="0.25">
      <c r="A6">
        <v>1704</v>
      </c>
      <c r="B6" t="s">
        <v>13</v>
      </c>
      <c r="C6" t="s">
        <v>109</v>
      </c>
      <c r="D6" t="s">
        <v>41</v>
      </c>
      <c r="H6">
        <f>357*200</f>
        <v>71400</v>
      </c>
      <c r="I6" t="s">
        <v>81</v>
      </c>
      <c r="J6">
        <f t="shared" si="0"/>
        <v>71400</v>
      </c>
      <c r="L6">
        <f t="shared" si="1"/>
        <v>31.875</v>
      </c>
    </row>
    <row r="7" spans="1:12" x14ac:dyDescent="0.25">
      <c r="A7">
        <v>1704</v>
      </c>
      <c r="B7" t="s">
        <v>14</v>
      </c>
      <c r="C7" t="s">
        <v>109</v>
      </c>
      <c r="D7" t="s">
        <v>41</v>
      </c>
      <c r="F7">
        <v>10</v>
      </c>
      <c r="J7">
        <f t="shared" si="0"/>
        <v>1120</v>
      </c>
      <c r="L7">
        <f t="shared" si="1"/>
        <v>0.5</v>
      </c>
    </row>
    <row r="8" spans="1:12" x14ac:dyDescent="0.25">
      <c r="A8">
        <v>1704</v>
      </c>
      <c r="B8" t="s">
        <v>15</v>
      </c>
      <c r="C8" t="s">
        <v>109</v>
      </c>
      <c r="D8" t="s">
        <v>41</v>
      </c>
      <c r="J8">
        <f t="shared" si="0"/>
        <v>0</v>
      </c>
      <c r="L8">
        <f t="shared" si="1"/>
        <v>0</v>
      </c>
    </row>
    <row r="9" spans="1:12" x14ac:dyDescent="0.25">
      <c r="A9">
        <v>1704</v>
      </c>
      <c r="B9" t="s">
        <v>16</v>
      </c>
      <c r="C9" t="s">
        <v>109</v>
      </c>
      <c r="D9" t="s">
        <v>41</v>
      </c>
      <c r="H9">
        <v>1034</v>
      </c>
      <c r="J9">
        <f t="shared" si="0"/>
        <v>1034</v>
      </c>
      <c r="L9">
        <f t="shared" si="1"/>
        <v>0.46160714285714288</v>
      </c>
    </row>
    <row r="10" spans="1:12" x14ac:dyDescent="0.25">
      <c r="A10">
        <v>1704</v>
      </c>
      <c r="B10" t="s">
        <v>17</v>
      </c>
      <c r="C10" t="s">
        <v>109</v>
      </c>
      <c r="D10" t="s">
        <v>41</v>
      </c>
      <c r="J10">
        <f t="shared" si="0"/>
        <v>0</v>
      </c>
      <c r="L10">
        <f t="shared" si="1"/>
        <v>0</v>
      </c>
    </row>
    <row r="11" spans="1:12" x14ac:dyDescent="0.25">
      <c r="A11">
        <v>1704</v>
      </c>
      <c r="B11" t="s">
        <v>18</v>
      </c>
      <c r="C11" t="s">
        <v>109</v>
      </c>
      <c r="D11" t="s">
        <v>41</v>
      </c>
      <c r="H11">
        <v>2119</v>
      </c>
      <c r="I11" t="s">
        <v>82</v>
      </c>
      <c r="J11">
        <f t="shared" si="0"/>
        <v>2119</v>
      </c>
      <c r="L11">
        <f t="shared" si="1"/>
        <v>0.94598214285714288</v>
      </c>
    </row>
    <row r="12" spans="1:12" x14ac:dyDescent="0.25">
      <c r="A12">
        <v>1704</v>
      </c>
      <c r="B12" t="s">
        <v>32</v>
      </c>
      <c r="C12" t="s">
        <v>109</v>
      </c>
      <c r="D12" t="s">
        <v>41</v>
      </c>
      <c r="J12">
        <f t="shared" si="0"/>
        <v>0</v>
      </c>
      <c r="L12">
        <f t="shared" si="1"/>
        <v>0</v>
      </c>
    </row>
    <row r="13" spans="1:12" x14ac:dyDescent="0.25">
      <c r="A13">
        <v>1704</v>
      </c>
      <c r="B13" t="s">
        <v>19</v>
      </c>
      <c r="C13" t="s">
        <v>109</v>
      </c>
      <c r="D13" t="s">
        <v>41</v>
      </c>
      <c r="F13">
        <v>2</v>
      </c>
      <c r="G13">
        <v>1</v>
      </c>
      <c r="J13">
        <f t="shared" si="0"/>
        <v>252</v>
      </c>
      <c r="L13">
        <f t="shared" si="1"/>
        <v>0.1125</v>
      </c>
    </row>
    <row r="14" spans="1:12" x14ac:dyDescent="0.25">
      <c r="A14">
        <v>1704</v>
      </c>
      <c r="B14" t="s">
        <v>61</v>
      </c>
      <c r="C14" t="s">
        <v>109</v>
      </c>
      <c r="D14" t="s">
        <v>41</v>
      </c>
      <c r="J14">
        <f t="shared" si="0"/>
        <v>0</v>
      </c>
      <c r="L14">
        <f t="shared" si="1"/>
        <v>0</v>
      </c>
    </row>
    <row r="15" spans="1:12" x14ac:dyDescent="0.25">
      <c r="A15">
        <v>1704</v>
      </c>
      <c r="B15" t="s">
        <v>20</v>
      </c>
      <c r="C15" t="s">
        <v>109</v>
      </c>
      <c r="D15" t="s">
        <v>41</v>
      </c>
      <c r="H15">
        <v>271</v>
      </c>
      <c r="J15">
        <f t="shared" si="0"/>
        <v>271</v>
      </c>
      <c r="L15">
        <f t="shared" si="1"/>
        <v>0.12098214285714286</v>
      </c>
    </row>
    <row r="16" spans="1:12" x14ac:dyDescent="0.25">
      <c r="A16">
        <v>1704</v>
      </c>
      <c r="B16" t="s">
        <v>22</v>
      </c>
      <c r="C16" t="s">
        <v>109</v>
      </c>
      <c r="D16" t="s">
        <v>41</v>
      </c>
      <c r="H16">
        <v>1130</v>
      </c>
      <c r="I16" t="s">
        <v>83</v>
      </c>
      <c r="J16">
        <f t="shared" si="0"/>
        <v>1130</v>
      </c>
      <c r="L16">
        <f t="shared" si="1"/>
        <v>0.5044642857142857</v>
      </c>
    </row>
    <row r="17" spans="1:12" x14ac:dyDescent="0.25">
      <c r="A17">
        <v>1704</v>
      </c>
      <c r="B17" t="s">
        <v>31</v>
      </c>
      <c r="C17" t="s">
        <v>109</v>
      </c>
      <c r="D17" t="s">
        <v>41</v>
      </c>
      <c r="H17">
        <v>44</v>
      </c>
      <c r="J17">
        <f t="shared" si="0"/>
        <v>44</v>
      </c>
      <c r="L17">
        <f t="shared" si="1"/>
        <v>1.9642857142857142E-2</v>
      </c>
    </row>
    <row r="18" spans="1:12" x14ac:dyDescent="0.25">
      <c r="A18">
        <v>1704</v>
      </c>
      <c r="B18" t="s">
        <v>23</v>
      </c>
      <c r="C18" t="s">
        <v>109</v>
      </c>
      <c r="D18" t="s">
        <v>41</v>
      </c>
      <c r="J18">
        <f t="shared" si="0"/>
        <v>0</v>
      </c>
      <c r="L18">
        <f t="shared" si="1"/>
        <v>0</v>
      </c>
    </row>
    <row r="19" spans="1:12" x14ac:dyDescent="0.25">
      <c r="A19">
        <v>1704</v>
      </c>
      <c r="B19" t="s">
        <v>95</v>
      </c>
      <c r="C19" t="s">
        <v>109</v>
      </c>
      <c r="D19" t="s">
        <v>41</v>
      </c>
      <c r="J19">
        <f t="shared" si="0"/>
        <v>0</v>
      </c>
      <c r="L19">
        <f t="shared" si="1"/>
        <v>0</v>
      </c>
    </row>
    <row r="20" spans="1:12" x14ac:dyDescent="0.25">
      <c r="A20">
        <v>1704</v>
      </c>
      <c r="B20" t="s">
        <v>28</v>
      </c>
      <c r="C20" t="s">
        <v>109</v>
      </c>
      <c r="D20" t="s">
        <v>41</v>
      </c>
      <c r="J20">
        <f t="shared" si="0"/>
        <v>0</v>
      </c>
      <c r="L20">
        <f t="shared" si="1"/>
        <v>0</v>
      </c>
    </row>
    <row r="21" spans="1:12" x14ac:dyDescent="0.25">
      <c r="A21">
        <v>1704</v>
      </c>
      <c r="B21" t="s">
        <v>24</v>
      </c>
      <c r="C21" t="s">
        <v>109</v>
      </c>
      <c r="D21" t="s">
        <v>41</v>
      </c>
      <c r="H21">
        <v>2207</v>
      </c>
      <c r="J21">
        <f t="shared" si="0"/>
        <v>2207</v>
      </c>
      <c r="L21">
        <f t="shared" si="1"/>
        <v>0.98526785714285714</v>
      </c>
    </row>
    <row r="22" spans="1:12" x14ac:dyDescent="0.25">
      <c r="A22">
        <v>1704</v>
      </c>
      <c r="B22" t="s">
        <v>25</v>
      </c>
      <c r="C22" t="s">
        <v>109</v>
      </c>
      <c r="D22" t="s">
        <v>41</v>
      </c>
      <c r="J22">
        <f t="shared" si="0"/>
        <v>0</v>
      </c>
      <c r="L22">
        <f t="shared" si="1"/>
        <v>0</v>
      </c>
    </row>
    <row r="23" spans="1:12" x14ac:dyDescent="0.25">
      <c r="A23">
        <v>1704</v>
      </c>
      <c r="B23" t="s">
        <v>25</v>
      </c>
      <c r="C23" t="s">
        <v>109</v>
      </c>
      <c r="D23" t="s">
        <v>41</v>
      </c>
      <c r="J23">
        <f t="shared" si="0"/>
        <v>0</v>
      </c>
      <c r="L23">
        <f t="shared" si="1"/>
        <v>0</v>
      </c>
    </row>
    <row r="24" spans="1:12" x14ac:dyDescent="0.25">
      <c r="A24">
        <v>1704</v>
      </c>
      <c r="B24" t="s">
        <v>26</v>
      </c>
      <c r="C24" t="s">
        <v>109</v>
      </c>
      <c r="D24" t="s">
        <v>41</v>
      </c>
      <c r="F24">
        <v>3</v>
      </c>
      <c r="G24">
        <v>1</v>
      </c>
      <c r="H24">
        <v>21</v>
      </c>
      <c r="J24">
        <f t="shared" si="0"/>
        <v>385</v>
      </c>
      <c r="L24">
        <f t="shared" si="1"/>
        <v>0.171875</v>
      </c>
    </row>
    <row r="25" spans="1:12" x14ac:dyDescent="0.25">
      <c r="A25">
        <v>1704</v>
      </c>
      <c r="B25" t="s">
        <v>8</v>
      </c>
      <c r="C25" t="s">
        <v>109</v>
      </c>
      <c r="D25" t="s">
        <v>43</v>
      </c>
      <c r="F25">
        <v>15782</v>
      </c>
      <c r="G25">
        <v>3</v>
      </c>
      <c r="H25">
        <v>2</v>
      </c>
      <c r="J25">
        <f t="shared" si="0"/>
        <v>1767670</v>
      </c>
      <c r="L25">
        <f t="shared" si="1"/>
        <v>789.13839285714289</v>
      </c>
    </row>
    <row r="26" spans="1:12" x14ac:dyDescent="0.25">
      <c r="A26">
        <v>1704</v>
      </c>
      <c r="B26" t="s">
        <v>12</v>
      </c>
      <c r="C26" t="s">
        <v>109</v>
      </c>
      <c r="D26" t="s">
        <v>43</v>
      </c>
      <c r="F26">
        <v>20</v>
      </c>
      <c r="G26">
        <v>1</v>
      </c>
      <c r="H26">
        <v>4</v>
      </c>
      <c r="J26">
        <f t="shared" si="0"/>
        <v>2272</v>
      </c>
      <c r="L26">
        <f t="shared" si="1"/>
        <v>1.0142857142857142</v>
      </c>
    </row>
    <row r="27" spans="1:12" x14ac:dyDescent="0.25">
      <c r="A27">
        <v>1704</v>
      </c>
      <c r="B27" t="s">
        <v>13</v>
      </c>
      <c r="C27" t="s">
        <v>109</v>
      </c>
      <c r="D27" t="s">
        <v>43</v>
      </c>
      <c r="F27">
        <v>65</v>
      </c>
      <c r="H27">
        <v>14</v>
      </c>
      <c r="J27">
        <f t="shared" si="0"/>
        <v>7294</v>
      </c>
      <c r="L27">
        <f t="shared" si="1"/>
        <v>3.2562500000000001</v>
      </c>
    </row>
    <row r="28" spans="1:12" x14ac:dyDescent="0.25">
      <c r="A28">
        <v>1704</v>
      </c>
      <c r="B28" t="s">
        <v>15</v>
      </c>
      <c r="C28" t="s">
        <v>109</v>
      </c>
      <c r="D28" t="s">
        <v>43</v>
      </c>
      <c r="J28">
        <f t="shared" si="0"/>
        <v>0</v>
      </c>
      <c r="L28">
        <f t="shared" si="1"/>
        <v>0</v>
      </c>
    </row>
    <row r="29" spans="1:12" x14ac:dyDescent="0.25">
      <c r="A29">
        <v>1704</v>
      </c>
      <c r="B29" t="s">
        <v>16</v>
      </c>
      <c r="C29" t="s">
        <v>109</v>
      </c>
      <c r="D29" t="s">
        <v>43</v>
      </c>
      <c r="H29">
        <v>626</v>
      </c>
      <c r="J29">
        <f t="shared" si="0"/>
        <v>626</v>
      </c>
      <c r="L29">
        <f t="shared" si="1"/>
        <v>0.27946428571428572</v>
      </c>
    </row>
    <row r="30" spans="1:12" x14ac:dyDescent="0.25">
      <c r="A30">
        <v>1704</v>
      </c>
      <c r="B30" t="s">
        <v>17</v>
      </c>
      <c r="C30" t="s">
        <v>109</v>
      </c>
      <c r="D30" t="s">
        <v>43</v>
      </c>
      <c r="F30">
        <v>47</v>
      </c>
      <c r="H30">
        <v>3</v>
      </c>
      <c r="J30">
        <f t="shared" si="0"/>
        <v>5267</v>
      </c>
      <c r="L30">
        <f t="shared" si="1"/>
        <v>2.3513392857142859</v>
      </c>
    </row>
    <row r="31" spans="1:12" x14ac:dyDescent="0.25">
      <c r="A31">
        <v>1704</v>
      </c>
      <c r="B31" t="s">
        <v>18</v>
      </c>
      <c r="C31" t="s">
        <v>109</v>
      </c>
      <c r="D31" t="s">
        <v>43</v>
      </c>
      <c r="H31">
        <v>959</v>
      </c>
      <c r="I31" t="s">
        <v>94</v>
      </c>
      <c r="J31">
        <f t="shared" si="0"/>
        <v>959</v>
      </c>
      <c r="L31">
        <f t="shared" si="1"/>
        <v>0.42812499999999998</v>
      </c>
    </row>
    <row r="32" spans="1:12" x14ac:dyDescent="0.25">
      <c r="A32">
        <v>1704</v>
      </c>
      <c r="B32" t="s">
        <v>19</v>
      </c>
      <c r="C32" t="s">
        <v>109</v>
      </c>
      <c r="D32" t="s">
        <v>43</v>
      </c>
      <c r="J32">
        <f t="shared" si="0"/>
        <v>0</v>
      </c>
      <c r="L32">
        <f t="shared" si="1"/>
        <v>0</v>
      </c>
    </row>
    <row r="33" spans="1:12" x14ac:dyDescent="0.25">
      <c r="A33">
        <v>1704</v>
      </c>
      <c r="B33" t="s">
        <v>22</v>
      </c>
      <c r="C33" t="s">
        <v>109</v>
      </c>
      <c r="D33" t="s">
        <v>43</v>
      </c>
      <c r="J33">
        <f t="shared" si="0"/>
        <v>0</v>
      </c>
      <c r="L33">
        <f t="shared" si="1"/>
        <v>0</v>
      </c>
    </row>
    <row r="34" spans="1:12" x14ac:dyDescent="0.25">
      <c r="A34">
        <v>1704</v>
      </c>
      <c r="B34" t="s">
        <v>23</v>
      </c>
      <c r="C34" t="s">
        <v>109</v>
      </c>
      <c r="D34" t="s">
        <v>43</v>
      </c>
      <c r="F34">
        <v>4</v>
      </c>
      <c r="G34">
        <v>2</v>
      </c>
      <c r="H34">
        <v>24</v>
      </c>
      <c r="J34">
        <f t="shared" si="0"/>
        <v>528</v>
      </c>
      <c r="L34">
        <f t="shared" si="1"/>
        <v>0.23571428571428571</v>
      </c>
    </row>
    <row r="35" spans="1:12" x14ac:dyDescent="0.25">
      <c r="A35">
        <v>1704</v>
      </c>
      <c r="B35" t="s">
        <v>62</v>
      </c>
      <c r="C35" t="s">
        <v>109</v>
      </c>
      <c r="D35" t="s">
        <v>43</v>
      </c>
      <c r="H35">
        <v>12</v>
      </c>
      <c r="J35">
        <f t="shared" si="0"/>
        <v>12</v>
      </c>
      <c r="L35">
        <f t="shared" si="1"/>
        <v>5.3571428571428572E-3</v>
      </c>
    </row>
    <row r="36" spans="1:12" x14ac:dyDescent="0.25">
      <c r="A36">
        <v>1704</v>
      </c>
      <c r="B36" t="s">
        <v>25</v>
      </c>
      <c r="C36" t="s">
        <v>109</v>
      </c>
      <c r="D36" t="s">
        <v>43</v>
      </c>
      <c r="J36">
        <f t="shared" si="0"/>
        <v>0</v>
      </c>
      <c r="L36">
        <f t="shared" si="1"/>
        <v>0</v>
      </c>
    </row>
    <row r="37" spans="1:12" x14ac:dyDescent="0.25">
      <c r="A37">
        <v>1704</v>
      </c>
      <c r="B37" t="s">
        <v>26</v>
      </c>
      <c r="C37" t="s">
        <v>109</v>
      </c>
      <c r="D37" t="s">
        <v>43</v>
      </c>
      <c r="F37">
        <v>2</v>
      </c>
      <c r="G37">
        <v>1</v>
      </c>
      <c r="H37">
        <v>9</v>
      </c>
      <c r="J37">
        <f t="shared" si="0"/>
        <v>261</v>
      </c>
      <c r="L37">
        <f t="shared" si="1"/>
        <v>0.11651785714285715</v>
      </c>
    </row>
  </sheetData>
  <autoFilter ref="A1:P37" xr:uid="{AB5FFED1-AE16-4C8B-9D15-E9FB9071B0C4}">
    <sortState xmlns:xlrd2="http://schemas.microsoft.com/office/spreadsheetml/2017/richdata2" ref="A2:P37">
      <sortCondition ref="D1:D3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213-D86D-49F5-8083-0C8664D2B8A6}">
  <dimension ref="A1:L19"/>
  <sheetViews>
    <sheetView workbookViewId="0">
      <selection activeCell="H7" sqref="H7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 t="s">
        <v>39</v>
      </c>
      <c r="K1" s="1"/>
      <c r="L1" s="1" t="s">
        <v>100</v>
      </c>
    </row>
    <row r="2" spans="1:12" x14ac:dyDescent="0.25">
      <c r="A2">
        <v>1704</v>
      </c>
      <c r="B2" t="s">
        <v>4</v>
      </c>
      <c r="C2" t="s">
        <v>110</v>
      </c>
      <c r="D2" t="s">
        <v>41</v>
      </c>
      <c r="J2">
        <f t="shared" ref="J2:J19" si="0">(E2*2240)+(F2*112)+(G2*28)+(H2/16)</f>
        <v>0</v>
      </c>
      <c r="L2">
        <f t="shared" ref="L2:L19" si="1">J2/2240</f>
        <v>0</v>
      </c>
    </row>
    <row r="3" spans="1:12" x14ac:dyDescent="0.25">
      <c r="A3">
        <v>1704</v>
      </c>
      <c r="B3" t="s">
        <v>6</v>
      </c>
      <c r="C3" t="s">
        <v>110</v>
      </c>
      <c r="D3" t="s">
        <v>41</v>
      </c>
      <c r="J3">
        <f t="shared" si="0"/>
        <v>0</v>
      </c>
      <c r="L3">
        <f t="shared" si="1"/>
        <v>0</v>
      </c>
    </row>
    <row r="4" spans="1:12" x14ac:dyDescent="0.25">
      <c r="A4">
        <v>1704</v>
      </c>
      <c r="B4" t="s">
        <v>8</v>
      </c>
      <c r="C4" t="s">
        <v>110</v>
      </c>
      <c r="D4" t="s">
        <v>41</v>
      </c>
      <c r="F4">
        <v>1428</v>
      </c>
      <c r="G4">
        <v>1</v>
      </c>
      <c r="J4">
        <f t="shared" si="0"/>
        <v>159964</v>
      </c>
      <c r="L4">
        <f t="shared" si="1"/>
        <v>71.412499999999994</v>
      </c>
    </row>
    <row r="5" spans="1:12" x14ac:dyDescent="0.25">
      <c r="A5">
        <v>1704</v>
      </c>
      <c r="B5" t="s">
        <v>12</v>
      </c>
      <c r="C5" t="s">
        <v>110</v>
      </c>
      <c r="D5" t="s">
        <v>41</v>
      </c>
      <c r="J5">
        <f t="shared" si="0"/>
        <v>0</v>
      </c>
      <c r="L5">
        <f t="shared" si="1"/>
        <v>0</v>
      </c>
    </row>
    <row r="6" spans="1:12" x14ac:dyDescent="0.25">
      <c r="A6">
        <v>1704</v>
      </c>
      <c r="B6" t="s">
        <v>13</v>
      </c>
      <c r="C6" t="s">
        <v>110</v>
      </c>
      <c r="D6" t="s">
        <v>41</v>
      </c>
      <c r="H6">
        <f>7*200</f>
        <v>1400</v>
      </c>
      <c r="I6" t="s">
        <v>84</v>
      </c>
      <c r="J6">
        <f t="shared" si="0"/>
        <v>87.5</v>
      </c>
      <c r="L6">
        <f t="shared" si="1"/>
        <v>3.90625E-2</v>
      </c>
    </row>
    <row r="7" spans="1:12" x14ac:dyDescent="0.25">
      <c r="A7">
        <v>1704</v>
      </c>
      <c r="B7" t="s">
        <v>14</v>
      </c>
      <c r="C7" t="s">
        <v>110</v>
      </c>
      <c r="D7" t="s">
        <v>41</v>
      </c>
      <c r="J7">
        <f t="shared" si="0"/>
        <v>0</v>
      </c>
      <c r="L7">
        <f t="shared" si="1"/>
        <v>0</v>
      </c>
    </row>
    <row r="8" spans="1:12" x14ac:dyDescent="0.25">
      <c r="A8">
        <v>1704</v>
      </c>
      <c r="B8" t="s">
        <v>15</v>
      </c>
      <c r="C8" t="s">
        <v>110</v>
      </c>
      <c r="D8" t="s">
        <v>41</v>
      </c>
      <c r="J8">
        <f t="shared" si="0"/>
        <v>0</v>
      </c>
      <c r="L8">
        <f t="shared" si="1"/>
        <v>0</v>
      </c>
    </row>
    <row r="9" spans="1:12" x14ac:dyDescent="0.25">
      <c r="A9">
        <v>1704</v>
      </c>
      <c r="B9" t="s">
        <v>16</v>
      </c>
      <c r="C9" t="s">
        <v>110</v>
      </c>
      <c r="D9" t="s">
        <v>41</v>
      </c>
      <c r="J9">
        <f t="shared" si="0"/>
        <v>0</v>
      </c>
      <c r="L9">
        <f t="shared" si="1"/>
        <v>0</v>
      </c>
    </row>
    <row r="10" spans="1:12" x14ac:dyDescent="0.25">
      <c r="A10">
        <v>1704</v>
      </c>
      <c r="B10" t="s">
        <v>17</v>
      </c>
      <c r="C10" t="s">
        <v>110</v>
      </c>
      <c r="D10" t="s">
        <v>41</v>
      </c>
      <c r="J10">
        <f t="shared" si="0"/>
        <v>0</v>
      </c>
      <c r="L10">
        <f t="shared" si="1"/>
        <v>0</v>
      </c>
    </row>
    <row r="11" spans="1:12" x14ac:dyDescent="0.25">
      <c r="A11">
        <v>1704</v>
      </c>
      <c r="B11" t="s">
        <v>19</v>
      </c>
      <c r="C11" t="s">
        <v>110</v>
      </c>
      <c r="D11" t="s">
        <v>41</v>
      </c>
      <c r="F11">
        <v>2</v>
      </c>
      <c r="G11">
        <v>2</v>
      </c>
      <c r="J11">
        <f t="shared" si="0"/>
        <v>280</v>
      </c>
      <c r="L11">
        <f t="shared" si="1"/>
        <v>0.125</v>
      </c>
    </row>
    <row r="12" spans="1:12" x14ac:dyDescent="0.25">
      <c r="A12">
        <v>1704</v>
      </c>
      <c r="B12" t="s">
        <v>20</v>
      </c>
      <c r="C12" t="s">
        <v>110</v>
      </c>
      <c r="D12" t="s">
        <v>41</v>
      </c>
      <c r="J12">
        <f t="shared" si="0"/>
        <v>0</v>
      </c>
      <c r="L12">
        <f t="shared" si="1"/>
        <v>0</v>
      </c>
    </row>
    <row r="13" spans="1:12" x14ac:dyDescent="0.25">
      <c r="A13">
        <v>1704</v>
      </c>
      <c r="B13" t="s">
        <v>22</v>
      </c>
      <c r="C13" t="s">
        <v>110</v>
      </c>
      <c r="D13" t="s">
        <v>41</v>
      </c>
      <c r="J13">
        <f t="shared" si="0"/>
        <v>0</v>
      </c>
      <c r="L13">
        <f t="shared" si="1"/>
        <v>0</v>
      </c>
    </row>
    <row r="14" spans="1:12" x14ac:dyDescent="0.25">
      <c r="A14">
        <v>1704</v>
      </c>
      <c r="B14" t="s">
        <v>23</v>
      </c>
      <c r="C14" t="s">
        <v>110</v>
      </c>
      <c r="D14" t="s">
        <v>41</v>
      </c>
      <c r="J14">
        <f t="shared" si="0"/>
        <v>0</v>
      </c>
      <c r="L14">
        <f t="shared" si="1"/>
        <v>0</v>
      </c>
    </row>
    <row r="15" spans="1:12" x14ac:dyDescent="0.25">
      <c r="A15">
        <v>1704</v>
      </c>
      <c r="B15" t="s">
        <v>95</v>
      </c>
      <c r="C15" t="s">
        <v>110</v>
      </c>
      <c r="D15" t="s">
        <v>41</v>
      </c>
      <c r="J15">
        <f t="shared" si="0"/>
        <v>0</v>
      </c>
      <c r="L15">
        <f t="shared" si="1"/>
        <v>0</v>
      </c>
    </row>
    <row r="16" spans="1:12" x14ac:dyDescent="0.25">
      <c r="A16">
        <v>1704</v>
      </c>
      <c r="B16" t="s">
        <v>104</v>
      </c>
      <c r="C16" t="s">
        <v>110</v>
      </c>
      <c r="D16" t="s">
        <v>41</v>
      </c>
      <c r="J16">
        <f t="shared" si="0"/>
        <v>0</v>
      </c>
      <c r="L16">
        <f t="shared" si="1"/>
        <v>0</v>
      </c>
    </row>
    <row r="17" spans="1:12" x14ac:dyDescent="0.25">
      <c r="A17">
        <v>1704</v>
      </c>
      <c r="B17" t="s">
        <v>8</v>
      </c>
      <c r="C17" t="s">
        <v>110</v>
      </c>
      <c r="D17" t="s">
        <v>43</v>
      </c>
      <c r="F17">
        <v>2201</v>
      </c>
      <c r="G17">
        <v>3</v>
      </c>
      <c r="H17">
        <v>20</v>
      </c>
      <c r="J17">
        <f t="shared" si="0"/>
        <v>246597.25</v>
      </c>
      <c r="L17">
        <f t="shared" si="1"/>
        <v>110.08805803571428</v>
      </c>
    </row>
    <row r="18" spans="1:12" x14ac:dyDescent="0.25">
      <c r="A18">
        <v>1704</v>
      </c>
      <c r="B18" t="s">
        <v>13</v>
      </c>
      <c r="C18" t="s">
        <v>110</v>
      </c>
      <c r="D18" t="s">
        <v>43</v>
      </c>
      <c r="F18">
        <v>16</v>
      </c>
      <c r="H18">
        <v>8</v>
      </c>
      <c r="J18">
        <f t="shared" si="0"/>
        <v>1792.5</v>
      </c>
      <c r="L18">
        <f t="shared" si="1"/>
        <v>0.8002232142857143</v>
      </c>
    </row>
    <row r="19" spans="1:12" x14ac:dyDescent="0.25">
      <c r="A19">
        <v>1704</v>
      </c>
      <c r="B19" t="s">
        <v>16</v>
      </c>
      <c r="C19" t="s">
        <v>110</v>
      </c>
      <c r="D19" t="s">
        <v>43</v>
      </c>
      <c r="H19">
        <v>48</v>
      </c>
      <c r="J19">
        <f t="shared" si="0"/>
        <v>3</v>
      </c>
      <c r="L19">
        <f t="shared" si="1"/>
        <v>1.3392857142857143E-3</v>
      </c>
    </row>
  </sheetData>
  <autoFilter ref="A1:L19" xr:uid="{2A995213-D86D-49F5-8083-0C8664D2B8A6}">
    <sortState xmlns:xlrd2="http://schemas.microsoft.com/office/spreadsheetml/2017/richdata2" ref="A2:L19">
      <sortCondition ref="D1:D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Goods Sheet</vt:lpstr>
      <vt:lpstr>Antigua</vt:lpstr>
      <vt:lpstr>Barbados</vt:lpstr>
      <vt:lpstr>Bermuda</vt:lpstr>
      <vt:lpstr>Jamaica</vt:lpstr>
      <vt:lpstr>Mountserat</vt:lpstr>
      <vt:lpstr>Nevis</vt:lpstr>
      <vt:lpstr>St Kitts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2024-12-05T00:07:40Z</dcterms:created>
  <dcterms:modified xsi:type="dcterms:W3CDTF">2025-04-29T18:36:09Z</dcterms:modified>
</cp:coreProperties>
</file>