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635" documentId="8_{944EF62B-7A14-4F90-A847-8AA330EB9695}" xr6:coauthVersionLast="47" xr6:coauthVersionMax="47" xr10:uidLastSave="{9F919042-2B4F-40B0-B84A-1F6ED223EF19}"/>
  <bookViews>
    <workbookView xWindow="-120" yWindow="-120" windowWidth="29040" windowHeight="15840" xr2:uid="{DA50CDB8-E080-44E0-917E-86E1EE5F77DD}"/>
  </bookViews>
  <sheets>
    <sheet name="Master Goods Sheet" sheetId="1" r:id="rId1"/>
    <sheet name="Antigua" sheetId="2" r:id="rId2"/>
    <sheet name="Barbados" sheetId="3" r:id="rId3"/>
    <sheet name="Bermuda" sheetId="4" r:id="rId4"/>
    <sheet name="Jamaica" sheetId="5" r:id="rId5"/>
    <sheet name="Mountserat" sheetId="6" r:id="rId6"/>
    <sheet name="Nevis" sheetId="7" r:id="rId7"/>
    <sheet name="St Kitts" sheetId="8" r:id="rId8"/>
    <sheet name="General" sheetId="9" r:id="rId9"/>
  </sheets>
  <definedNames>
    <definedName name="_xlnm._FilterDatabase" localSheetId="2" hidden="1">Barbados!$A$1:$N$54</definedName>
    <definedName name="_xlnm._FilterDatabase" localSheetId="4" hidden="1">Jamaica!$A$1:$O$65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9" l="1"/>
  <c r="H18" i="7"/>
  <c r="H18" i="6"/>
  <c r="H19" i="5"/>
  <c r="H4" i="4"/>
  <c r="H17" i="3"/>
  <c r="H7" i="2"/>
  <c r="C2" i="1"/>
  <c r="C27" i="1" l="1"/>
  <c r="C28" i="1"/>
  <c r="C29" i="1"/>
  <c r="C30" i="1"/>
  <c r="C31" i="1"/>
  <c r="B27" i="1"/>
  <c r="B28" i="1"/>
  <c r="B29" i="1"/>
  <c r="B30" i="1"/>
  <c r="B31" i="1"/>
  <c r="D27" i="1" l="1"/>
  <c r="D31" i="1"/>
  <c r="D29" i="1"/>
  <c r="D30" i="1"/>
  <c r="D2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B3" i="1"/>
  <c r="B4" i="1"/>
  <c r="B5" i="1"/>
  <c r="B6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" i="1"/>
  <c r="L61" i="9" l="1"/>
  <c r="J61" i="9"/>
  <c r="L53" i="7"/>
  <c r="J53" i="7"/>
  <c r="L59" i="6"/>
  <c r="J59" i="6"/>
  <c r="L58" i="5"/>
  <c r="J58" i="5"/>
  <c r="J82" i="5"/>
  <c r="L82" i="5" s="1"/>
  <c r="J52" i="5"/>
  <c r="L52" i="5" s="1"/>
  <c r="J74" i="5"/>
  <c r="L74" i="5" s="1"/>
  <c r="H62" i="5"/>
  <c r="J56" i="5"/>
  <c r="L56" i="5" s="1"/>
  <c r="J18" i="4"/>
  <c r="L18" i="4" s="1"/>
  <c r="L15" i="4"/>
  <c r="L16" i="4"/>
  <c r="L17" i="4"/>
  <c r="L19" i="4"/>
  <c r="L20" i="4"/>
  <c r="L21" i="4"/>
  <c r="L22" i="4"/>
  <c r="J10" i="4"/>
  <c r="L10" i="4" s="1"/>
  <c r="J11" i="4"/>
  <c r="L11" i="4" s="1"/>
  <c r="J12" i="4"/>
  <c r="L12" i="4" s="1"/>
  <c r="J13" i="4"/>
  <c r="L13" i="4" s="1"/>
  <c r="J14" i="4"/>
  <c r="L14" i="4" s="1"/>
  <c r="J15" i="4"/>
  <c r="J16" i="4"/>
  <c r="J17" i="4"/>
  <c r="J19" i="4"/>
  <c r="J20" i="4"/>
  <c r="J21" i="4"/>
  <c r="J22" i="4"/>
  <c r="L46" i="3"/>
  <c r="J46" i="3"/>
  <c r="H53" i="3"/>
  <c r="J31" i="2"/>
  <c r="L31" i="2" s="1"/>
  <c r="J67" i="9"/>
  <c r="L67" i="9" s="1"/>
  <c r="J66" i="9"/>
  <c r="L66" i="9" s="1"/>
  <c r="J65" i="9"/>
  <c r="L65" i="9" s="1"/>
  <c r="J64" i="9"/>
  <c r="L64" i="9" s="1"/>
  <c r="J63" i="9"/>
  <c r="L63" i="9" s="1"/>
  <c r="J62" i="9"/>
  <c r="L62" i="9" s="1"/>
  <c r="J60" i="9"/>
  <c r="L60" i="9" s="1"/>
  <c r="J59" i="9"/>
  <c r="L59" i="9" s="1"/>
  <c r="J58" i="9"/>
  <c r="L58" i="9" s="1"/>
  <c r="J57" i="9"/>
  <c r="L57" i="9" s="1"/>
  <c r="J56" i="9"/>
  <c r="L56" i="9" s="1"/>
  <c r="J55" i="9"/>
  <c r="L55" i="9" s="1"/>
  <c r="J54" i="9"/>
  <c r="L54" i="9" s="1"/>
  <c r="J53" i="9"/>
  <c r="L53" i="9" s="1"/>
  <c r="J52" i="9"/>
  <c r="L52" i="9" s="1"/>
  <c r="J51" i="9"/>
  <c r="L51" i="9" s="1"/>
  <c r="J50" i="9"/>
  <c r="L50" i="9" s="1"/>
  <c r="J49" i="9"/>
  <c r="L49" i="9" s="1"/>
  <c r="J48" i="9"/>
  <c r="L48" i="9" s="1"/>
  <c r="J47" i="9"/>
  <c r="L47" i="9" s="1"/>
  <c r="J46" i="9"/>
  <c r="L46" i="9" s="1"/>
  <c r="J45" i="9"/>
  <c r="L45" i="9" s="1"/>
  <c r="J44" i="9"/>
  <c r="L44" i="9" s="1"/>
  <c r="J43" i="9"/>
  <c r="L43" i="9" s="1"/>
  <c r="J42" i="9"/>
  <c r="L42" i="9" s="1"/>
  <c r="J41" i="9"/>
  <c r="L41" i="9" s="1"/>
  <c r="J40" i="9"/>
  <c r="L40" i="9" s="1"/>
  <c r="L39" i="9"/>
  <c r="J39" i="9"/>
  <c r="J38" i="9"/>
  <c r="L38" i="9" s="1"/>
  <c r="J37" i="9"/>
  <c r="L37" i="9" s="1"/>
  <c r="J36" i="9"/>
  <c r="L36" i="9" s="1"/>
  <c r="J35" i="9"/>
  <c r="L35" i="9" s="1"/>
  <c r="J34" i="9"/>
  <c r="L34" i="9" s="1"/>
  <c r="J33" i="9"/>
  <c r="L33" i="9" s="1"/>
  <c r="J32" i="9"/>
  <c r="L32" i="9" s="1"/>
  <c r="J31" i="9"/>
  <c r="L31" i="9" s="1"/>
  <c r="J30" i="9"/>
  <c r="L30" i="9" s="1"/>
  <c r="J29" i="9"/>
  <c r="L29" i="9" s="1"/>
  <c r="J28" i="9"/>
  <c r="L28" i="9" s="1"/>
  <c r="J27" i="9"/>
  <c r="L27" i="9" s="1"/>
  <c r="J26" i="9"/>
  <c r="L26" i="9" s="1"/>
  <c r="J25" i="9"/>
  <c r="L25" i="9" s="1"/>
  <c r="J24" i="9"/>
  <c r="L24" i="9" s="1"/>
  <c r="J23" i="9"/>
  <c r="L23" i="9" s="1"/>
  <c r="J22" i="9"/>
  <c r="L22" i="9" s="1"/>
  <c r="J21" i="9"/>
  <c r="L21" i="9" s="1"/>
  <c r="J20" i="9"/>
  <c r="L20" i="9" s="1"/>
  <c r="J19" i="9"/>
  <c r="L19" i="9" s="1"/>
  <c r="J18" i="9"/>
  <c r="L18" i="9" s="1"/>
  <c r="J17" i="9"/>
  <c r="L17" i="9" s="1"/>
  <c r="J16" i="9"/>
  <c r="L16" i="9" s="1"/>
  <c r="J15" i="9"/>
  <c r="L15" i="9" s="1"/>
  <c r="J14" i="9"/>
  <c r="L14" i="9" s="1"/>
  <c r="J13" i="9"/>
  <c r="L13" i="9" s="1"/>
  <c r="J12" i="9"/>
  <c r="L12" i="9" s="1"/>
  <c r="J11" i="9"/>
  <c r="L11" i="9" s="1"/>
  <c r="J10" i="9"/>
  <c r="L10" i="9" s="1"/>
  <c r="J9" i="9"/>
  <c r="L9" i="9" s="1"/>
  <c r="J8" i="9"/>
  <c r="L8" i="9" s="1"/>
  <c r="J7" i="9"/>
  <c r="L7" i="9" s="1"/>
  <c r="J6" i="9"/>
  <c r="L6" i="9" s="1"/>
  <c r="J5" i="9"/>
  <c r="L5" i="9" s="1"/>
  <c r="J4" i="9"/>
  <c r="L4" i="9" s="1"/>
  <c r="J3" i="9"/>
  <c r="L3" i="9" s="1"/>
  <c r="J2" i="9"/>
  <c r="L2" i="9" s="1"/>
  <c r="J44" i="5"/>
  <c r="L44" i="5" s="1"/>
  <c r="J45" i="5"/>
  <c r="L45" i="5" s="1"/>
  <c r="H24" i="5"/>
  <c r="J24" i="5" s="1"/>
  <c r="L24" i="5" s="1"/>
  <c r="J8" i="4"/>
  <c r="L8" i="4" s="1"/>
  <c r="J6" i="4"/>
  <c r="L6" i="4" s="1"/>
  <c r="J7" i="4"/>
  <c r="L7" i="4" s="1"/>
  <c r="J9" i="4"/>
  <c r="L9" i="4" s="1"/>
  <c r="J5" i="4"/>
  <c r="L5" i="4" s="1"/>
  <c r="J9" i="3"/>
  <c r="L9" i="3" s="1"/>
  <c r="J18" i="2"/>
  <c r="L18" i="2" s="1"/>
  <c r="J25" i="2"/>
  <c r="L25" i="2" s="1"/>
  <c r="J2" i="2"/>
  <c r="L2" i="2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L52" i="8"/>
  <c r="J52" i="8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J20" i="8"/>
  <c r="L20" i="8" s="1"/>
  <c r="J19" i="8"/>
  <c r="L19" i="8" s="1"/>
  <c r="J18" i="8"/>
  <c r="L18" i="8" s="1"/>
  <c r="J17" i="8"/>
  <c r="L17" i="8" s="1"/>
  <c r="L16" i="8"/>
  <c r="J16" i="8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J2" i="8"/>
  <c r="L2" i="8" s="1"/>
  <c r="J66" i="7"/>
  <c r="L66" i="7" s="1"/>
  <c r="J65" i="7"/>
  <c r="L65" i="7" s="1"/>
  <c r="J64" i="7"/>
  <c r="L64" i="7" s="1"/>
  <c r="J63" i="7"/>
  <c r="L63" i="7" s="1"/>
  <c r="J62" i="7"/>
  <c r="L62" i="7" s="1"/>
  <c r="J61" i="7"/>
  <c r="L61" i="7" s="1"/>
  <c r="J60" i="7"/>
  <c r="L60" i="7" s="1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J20" i="7"/>
  <c r="L20" i="7" s="1"/>
  <c r="J19" i="7"/>
  <c r="L19" i="7" s="1"/>
  <c r="J18" i="7"/>
  <c r="L18" i="7" s="1"/>
  <c r="J17" i="7"/>
  <c r="L17" i="7" s="1"/>
  <c r="J16" i="7"/>
  <c r="L16" i="7" s="1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67" i="6"/>
  <c r="L67" i="6" s="1"/>
  <c r="J66" i="6"/>
  <c r="L66" i="6" s="1"/>
  <c r="J65" i="6"/>
  <c r="L65" i="6" s="1"/>
  <c r="J64" i="6"/>
  <c r="L64" i="6" s="1"/>
  <c r="J63" i="6"/>
  <c r="L63" i="6" s="1"/>
  <c r="J62" i="6"/>
  <c r="L62" i="6" s="1"/>
  <c r="J61" i="6"/>
  <c r="L61" i="6" s="1"/>
  <c r="J60" i="6"/>
  <c r="L60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J44" i="6"/>
  <c r="L44" i="6" s="1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J23" i="6"/>
  <c r="L23" i="6" s="1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81" i="5"/>
  <c r="L81" i="5" s="1"/>
  <c r="J80" i="5"/>
  <c r="L80" i="5" s="1"/>
  <c r="J79" i="5"/>
  <c r="L79" i="5" s="1"/>
  <c r="J78" i="5"/>
  <c r="L78" i="5" s="1"/>
  <c r="J77" i="5"/>
  <c r="L77" i="5" s="1"/>
  <c r="J76" i="5"/>
  <c r="L76" i="5" s="1"/>
  <c r="J75" i="5"/>
  <c r="L75" i="5" s="1"/>
  <c r="J73" i="5"/>
  <c r="L73" i="5" s="1"/>
  <c r="J72" i="5"/>
  <c r="L72" i="5" s="1"/>
  <c r="J71" i="5"/>
  <c r="L71" i="5" s="1"/>
  <c r="J70" i="5"/>
  <c r="L70" i="5" s="1"/>
  <c r="J69" i="5"/>
  <c r="L69" i="5" s="1"/>
  <c r="J68" i="5"/>
  <c r="L68" i="5" s="1"/>
  <c r="J67" i="5"/>
  <c r="L67" i="5" s="1"/>
  <c r="J66" i="5"/>
  <c r="L66" i="5" s="1"/>
  <c r="J65" i="5"/>
  <c r="L65" i="5" s="1"/>
  <c r="J64" i="5"/>
  <c r="L64" i="5" s="1"/>
  <c r="J63" i="5"/>
  <c r="L63" i="5" s="1"/>
  <c r="J62" i="5"/>
  <c r="L62" i="5" s="1"/>
  <c r="J61" i="5"/>
  <c r="L61" i="5" s="1"/>
  <c r="J60" i="5"/>
  <c r="L60" i="5" s="1"/>
  <c r="J59" i="5"/>
  <c r="L59" i="5" s="1"/>
  <c r="J57" i="5"/>
  <c r="L57" i="5" s="1"/>
  <c r="J55" i="5"/>
  <c r="L55" i="5" s="1"/>
  <c r="J54" i="5"/>
  <c r="L54" i="5" s="1"/>
  <c r="J53" i="5"/>
  <c r="L53" i="5" s="1"/>
  <c r="J51" i="5"/>
  <c r="L51" i="5" s="1"/>
  <c r="J50" i="5"/>
  <c r="L50" i="5" s="1"/>
  <c r="J49" i="5"/>
  <c r="L49" i="5" s="1"/>
  <c r="J48" i="5"/>
  <c r="L48" i="5" s="1"/>
  <c r="J47" i="5"/>
  <c r="L47" i="5" s="1"/>
  <c r="J46" i="5"/>
  <c r="L46" i="5" s="1"/>
  <c r="J43" i="5"/>
  <c r="L43" i="5" s="1"/>
  <c r="J42" i="5"/>
  <c r="L42" i="5" s="1"/>
  <c r="J41" i="5"/>
  <c r="L41" i="5" s="1"/>
  <c r="J40" i="5"/>
  <c r="L40" i="5" s="1"/>
  <c r="J39" i="5"/>
  <c r="L39" i="5" s="1"/>
  <c r="J38" i="5"/>
  <c r="L38" i="5" s="1"/>
  <c r="J37" i="5"/>
  <c r="L37" i="5" s="1"/>
  <c r="J36" i="5"/>
  <c r="L36" i="5" s="1"/>
  <c r="J35" i="5"/>
  <c r="L35" i="5" s="1"/>
  <c r="J34" i="5"/>
  <c r="L34" i="5" s="1"/>
  <c r="J33" i="5"/>
  <c r="L33" i="5" s="1"/>
  <c r="J32" i="5"/>
  <c r="L32" i="5" s="1"/>
  <c r="J31" i="5"/>
  <c r="L31" i="5" s="1"/>
  <c r="J30" i="5"/>
  <c r="L30" i="5" s="1"/>
  <c r="J29" i="5"/>
  <c r="L29" i="5" s="1"/>
  <c r="J28" i="5"/>
  <c r="L28" i="5" s="1"/>
  <c r="J27" i="5"/>
  <c r="L27" i="5" s="1"/>
  <c r="J26" i="5"/>
  <c r="L26" i="5" s="1"/>
  <c r="J25" i="5"/>
  <c r="L25" i="5" s="1"/>
  <c r="J23" i="5"/>
  <c r="L23" i="5" s="1"/>
  <c r="J22" i="5"/>
  <c r="L22" i="5" s="1"/>
  <c r="J21" i="5"/>
  <c r="L21" i="5" s="1"/>
  <c r="J20" i="5"/>
  <c r="L20" i="5" s="1"/>
  <c r="J19" i="5"/>
  <c r="L19" i="5" s="1"/>
  <c r="J18" i="5"/>
  <c r="L18" i="5" s="1"/>
  <c r="J17" i="5"/>
  <c r="L17" i="5" s="1"/>
  <c r="J16" i="5"/>
  <c r="L16" i="5" s="1"/>
  <c r="J15" i="5"/>
  <c r="L15" i="5" s="1"/>
  <c r="J14" i="5"/>
  <c r="L14" i="5" s="1"/>
  <c r="J13" i="5"/>
  <c r="L13" i="5" s="1"/>
  <c r="J11" i="5"/>
  <c r="L11" i="5" s="1"/>
  <c r="J10" i="5"/>
  <c r="L10" i="5" s="1"/>
  <c r="J9" i="5"/>
  <c r="L9" i="5" s="1"/>
  <c r="J8" i="5"/>
  <c r="L8" i="5" s="1"/>
  <c r="J7" i="5"/>
  <c r="L7" i="5" s="1"/>
  <c r="J6" i="5"/>
  <c r="L6" i="5" s="1"/>
  <c r="J5" i="5"/>
  <c r="L5" i="5" s="1"/>
  <c r="J4" i="5"/>
  <c r="L4" i="5" s="1"/>
  <c r="J3" i="5"/>
  <c r="L3" i="5" s="1"/>
  <c r="J2" i="5"/>
  <c r="L2" i="5" s="1"/>
  <c r="J4" i="4"/>
  <c r="L4" i="4" s="1"/>
  <c r="J3" i="4"/>
  <c r="L3" i="4" s="1"/>
  <c r="J2" i="4"/>
  <c r="L2" i="4" s="1"/>
  <c r="J66" i="3"/>
  <c r="L66" i="3" s="1"/>
  <c r="J65" i="3"/>
  <c r="L65" i="3" s="1"/>
  <c r="J64" i="3"/>
  <c r="L64" i="3" s="1"/>
  <c r="J63" i="3"/>
  <c r="L63" i="3" s="1"/>
  <c r="J62" i="3"/>
  <c r="L62" i="3" s="1"/>
  <c r="J61" i="3"/>
  <c r="L61" i="3" s="1"/>
  <c r="J60" i="3"/>
  <c r="L60" i="3" s="1"/>
  <c r="J59" i="3"/>
  <c r="L59" i="3" s="1"/>
  <c r="J58" i="3"/>
  <c r="L58" i="3" s="1"/>
  <c r="J57" i="3"/>
  <c r="L57" i="3" s="1"/>
  <c r="J56" i="3"/>
  <c r="L56" i="3" s="1"/>
  <c r="J55" i="3"/>
  <c r="L55" i="3" s="1"/>
  <c r="J54" i="3"/>
  <c r="L54" i="3" s="1"/>
  <c r="J53" i="3"/>
  <c r="L53" i="3" s="1"/>
  <c r="J52" i="3"/>
  <c r="L52" i="3" s="1"/>
  <c r="J51" i="3"/>
  <c r="L51" i="3" s="1"/>
  <c r="J50" i="3"/>
  <c r="L50" i="3" s="1"/>
  <c r="J49" i="3"/>
  <c r="L49" i="3" s="1"/>
  <c r="J48" i="3"/>
  <c r="L48" i="3" s="1"/>
  <c r="J47" i="3"/>
  <c r="L47" i="3" s="1"/>
  <c r="J45" i="3"/>
  <c r="L45" i="3" s="1"/>
  <c r="J44" i="3"/>
  <c r="L44" i="3" s="1"/>
  <c r="J43" i="3"/>
  <c r="L43" i="3" s="1"/>
  <c r="J42" i="3"/>
  <c r="L42" i="3" s="1"/>
  <c r="J41" i="3"/>
  <c r="L41" i="3" s="1"/>
  <c r="J40" i="3"/>
  <c r="L40" i="3" s="1"/>
  <c r="J39" i="3"/>
  <c r="L39" i="3" s="1"/>
  <c r="J38" i="3"/>
  <c r="L38" i="3" s="1"/>
  <c r="J37" i="3"/>
  <c r="L37" i="3" s="1"/>
  <c r="J36" i="3"/>
  <c r="L36" i="3" s="1"/>
  <c r="J35" i="3"/>
  <c r="L35" i="3" s="1"/>
  <c r="J34" i="3"/>
  <c r="L34" i="3" s="1"/>
  <c r="J33" i="3"/>
  <c r="L33" i="3" s="1"/>
  <c r="J32" i="3"/>
  <c r="L32" i="3" s="1"/>
  <c r="J31" i="3"/>
  <c r="L31" i="3" s="1"/>
  <c r="J30" i="3"/>
  <c r="L30" i="3" s="1"/>
  <c r="J29" i="3"/>
  <c r="L29" i="3" s="1"/>
  <c r="J28" i="3"/>
  <c r="L28" i="3" s="1"/>
  <c r="J27" i="3"/>
  <c r="L27" i="3" s="1"/>
  <c r="J26" i="3"/>
  <c r="L26" i="3" s="1"/>
  <c r="J25" i="3"/>
  <c r="L25" i="3" s="1"/>
  <c r="J24" i="3"/>
  <c r="L24" i="3" s="1"/>
  <c r="J23" i="3"/>
  <c r="L23" i="3" s="1"/>
  <c r="J22" i="3"/>
  <c r="L22" i="3" s="1"/>
  <c r="J21" i="3"/>
  <c r="L21" i="3" s="1"/>
  <c r="J20" i="3"/>
  <c r="L20" i="3" s="1"/>
  <c r="J19" i="3"/>
  <c r="L19" i="3" s="1"/>
  <c r="J18" i="3"/>
  <c r="L18" i="3" s="1"/>
  <c r="J17" i="3"/>
  <c r="L17" i="3" s="1"/>
  <c r="J16" i="3"/>
  <c r="L16" i="3" s="1"/>
  <c r="J15" i="3"/>
  <c r="L15" i="3" s="1"/>
  <c r="J14" i="3"/>
  <c r="L14" i="3" s="1"/>
  <c r="J13" i="3"/>
  <c r="L13" i="3" s="1"/>
  <c r="J12" i="3"/>
  <c r="L12" i="3" s="1"/>
  <c r="J11" i="3"/>
  <c r="L11" i="3" s="1"/>
  <c r="J10" i="3"/>
  <c r="L10" i="3" s="1"/>
  <c r="J8" i="3"/>
  <c r="L8" i="3" s="1"/>
  <c r="J7" i="3"/>
  <c r="L7" i="3" s="1"/>
  <c r="J6" i="3"/>
  <c r="L6" i="3" s="1"/>
  <c r="J5" i="3"/>
  <c r="L5" i="3" s="1"/>
  <c r="J4" i="3"/>
  <c r="L4" i="3" s="1"/>
  <c r="J3" i="3"/>
  <c r="L3" i="3" s="1"/>
  <c r="J2" i="3"/>
  <c r="L2" i="3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0" i="2"/>
  <c r="L30" i="2" s="1"/>
  <c r="J29" i="2"/>
  <c r="L29" i="2" s="1"/>
  <c r="J28" i="2"/>
  <c r="L28" i="2" s="1"/>
  <c r="J27" i="2"/>
  <c r="L27" i="2" s="1"/>
  <c r="J26" i="2"/>
  <c r="L26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8" i="2"/>
  <c r="L8" i="2" s="1"/>
  <c r="J7" i="2"/>
  <c r="L7" i="2" s="1"/>
  <c r="J6" i="2"/>
  <c r="L6" i="2" s="1"/>
  <c r="J5" i="2"/>
  <c r="L5" i="2" s="1"/>
  <c r="J4" i="2"/>
  <c r="L4" i="2" s="1"/>
  <c r="J3" i="2"/>
  <c r="L3" i="2" s="1"/>
  <c r="B7" i="1" l="1"/>
  <c r="D7" i="1" s="1"/>
  <c r="D11" i="1"/>
  <c r="D21" i="1"/>
  <c r="D23" i="1"/>
  <c r="D24" i="1"/>
  <c r="D10" i="1"/>
  <c r="D22" i="1"/>
  <c r="D15" i="1"/>
  <c r="D25" i="1"/>
  <c r="D3" i="1"/>
  <c r="D18" i="1"/>
  <c r="D19" i="1"/>
  <c r="D16" i="1"/>
  <c r="D12" i="1"/>
  <c r="D4" i="1"/>
  <c r="D9" i="1"/>
  <c r="D8" i="1"/>
  <c r="D20" i="1"/>
  <c r="D17" i="1"/>
  <c r="D13" i="1"/>
  <c r="D14" i="1"/>
  <c r="D5" i="1"/>
  <c r="D6" i="1" l="1"/>
  <c r="D26" i="1"/>
  <c r="D2" i="1" l="1"/>
</calcChain>
</file>

<file path=xl/sharedStrings.xml><?xml version="1.0" encoding="utf-8"?>
<sst xmlns="http://schemas.openxmlformats.org/spreadsheetml/2006/main" count="1551" uniqueCount="120">
  <si>
    <t>Item</t>
  </si>
  <si>
    <t>Total London</t>
  </si>
  <si>
    <t>Total Outports</t>
  </si>
  <si>
    <t>Total</t>
  </si>
  <si>
    <t>Annatto</t>
  </si>
  <si>
    <t>Bees Wax</t>
  </si>
  <si>
    <t>Brown Sugar</t>
  </si>
  <si>
    <t>Cascarilla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</si>
  <si>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</si>
  <si>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</si>
  <si>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</si>
  <si>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</si>
  <si>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</si>
  <si>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</si>
  <si>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</si>
  <si>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</si>
  <si>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</si>
  <si>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</si>
  <si>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</si>
  <si>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</si>
  <si>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</si>
  <si>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</si>
  <si>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</si>
  <si>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</si>
  <si>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</si>
  <si>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</si>
  <si>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</si>
  <si>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</si>
  <si>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</si>
  <si>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</si>
  <si>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</si>
  <si>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</si>
  <si>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</si>
  <si>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</si>
  <si>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</si>
  <si>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</si>
  <si>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</si>
  <si>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Cocoa</t>
  </si>
  <si>
    <t>Aloes Epatica</t>
  </si>
  <si>
    <t>Cocheneal</t>
  </si>
  <si>
    <t>Chocolate Paste</t>
  </si>
  <si>
    <t>Green Ginger</t>
  </si>
  <si>
    <t>Cocoa Paste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</si>
  <si>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</si>
  <si>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</si>
  <si>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</si>
  <si>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</si>
  <si>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</si>
  <si>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</si>
  <si>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</si>
  <si>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</si>
  <si>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</si>
  <si>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</si>
  <si>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</si>
  <si>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</si>
  <si>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</si>
  <si>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</si>
  <si>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</si>
  <si>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</si>
  <si>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</si>
  <si>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</si>
  <si>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</si>
  <si>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</si>
  <si>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</si>
  <si>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</si>
  <si>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</si>
  <si>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</si>
  <si>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</si>
  <si>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</si>
  <si>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</si>
  <si>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</si>
  <si>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Sarsparila</t>
  </si>
  <si>
    <t>Wood, Nicaragua</t>
  </si>
  <si>
    <t>Tallow</t>
  </si>
  <si>
    <t>Mountserat</t>
  </si>
  <si>
    <t>Nevis</t>
  </si>
  <si>
    <t>60g</t>
  </si>
  <si>
    <t>StKitts</t>
  </si>
  <si>
    <t>9t 2h 50g</t>
  </si>
  <si>
    <t>1332bags</t>
  </si>
  <si>
    <t>38238g</t>
  </si>
  <si>
    <t>23t 3h 18g</t>
  </si>
  <si>
    <t>583bags</t>
  </si>
  <si>
    <t>248g</t>
  </si>
  <si>
    <t>62444g</t>
  </si>
  <si>
    <t>2t 2h 40g</t>
  </si>
  <si>
    <t>2bags</t>
  </si>
  <si>
    <t>1902g</t>
  </si>
  <si>
    <t>2t 3h 8g</t>
  </si>
  <si>
    <t>Wood, Ebony</t>
  </si>
  <si>
    <t>Wood, Cocus</t>
  </si>
  <si>
    <t>701bags</t>
  </si>
  <si>
    <t>13120g</t>
  </si>
  <si>
    <t>31g</t>
  </si>
  <si>
    <t>45bags</t>
  </si>
  <si>
    <t>735g</t>
  </si>
  <si>
    <t>770g</t>
  </si>
  <si>
    <t>6bags</t>
  </si>
  <si>
    <t>25g</t>
  </si>
  <si>
    <t>596g</t>
  </si>
  <si>
    <t>6t 1h 26g</t>
  </si>
  <si>
    <t>3887g</t>
  </si>
  <si>
    <t>3bags</t>
  </si>
  <si>
    <t>50g</t>
  </si>
  <si>
    <t>2970g</t>
  </si>
  <si>
    <t>280g</t>
  </si>
  <si>
    <t>2887g</t>
  </si>
  <si>
    <t>273g</t>
  </si>
  <si>
    <t>184g</t>
  </si>
  <si>
    <t>Cortex Peru</t>
  </si>
  <si>
    <t>843g</t>
  </si>
  <si>
    <t>4168g</t>
  </si>
  <si>
    <t>1809g</t>
  </si>
  <si>
    <t>24g</t>
  </si>
  <si>
    <t>56.5g</t>
  </si>
  <si>
    <t>7g</t>
  </si>
  <si>
    <t>267g</t>
  </si>
  <si>
    <t>Sassafras</t>
  </si>
  <si>
    <t>General</t>
  </si>
  <si>
    <t>46.5g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</si>
</sst>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B2" sqref="B2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SUMIFS(General!$L:$L, General!$B:$B, $A2, General!$D:$D, "London")</f>
        <v>5.8035714285714288E-2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SUMIFS(General!$L:$L, General!$B:$B, $A2, General!$D:$D, "Out Ports")</f>
        <v>0</v>
      </c>
      <c r="D2">
        <f>ROUND((B2+C2),2)</f>
        <v>0.06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SUMIFS(General!$L:$L, General!$B:$B, $A3, General!$D:$D, "London")</f>
        <v>0.43035714285714283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SUMIFS(General!$L:$L, General!$B:$B, $A3, General!$D:$D, "Out Ports")</f>
        <v>0.63571428571428568</v>
      </c>
      <c r="D3">
        <f t="shared" ref="D3:D31" si="0">ROUND((B3+C3),2)</f>
        <v>1.07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SUMIFS(General!$L:$L, General!$B:$B, $A4, General!$D:$D, "London")</f>
        <v>25980.198660714283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SUMIFS(General!$L:$L, General!$B:$B, $A4, General!$D:$D, "Out Ports")</f>
        <v>6964.0321428571433</v>
      </c>
      <c r="D4">
        <f t="shared" si="0"/>
        <v>32944.230000000003</v>
      </c>
    </row>
    <row r="5" spans="1:4" x14ac:dyDescent="0.25">
      <c r="A5" t="s">
        <v>8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SUMIFS(General!$L:$L, General!$B:$B, $A5, General!$D:$D,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SUMIFS(General!$L:$L, General!$B:$B, $A5, General!$D:$D, "Out Ports")</f>
        <v>0</v>
      </c>
      <c r="D5">
        <f t="shared" si="0"/>
        <v>0</v>
      </c>
    </row>
    <row r="6" spans="1:4" x14ac:dyDescent="0.25">
      <c r="A6" t="s">
        <v>9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SUMIFS(General!$L:$L, General!$B:$B, $A6, General!$D:$D, "London")</f>
        <v>6.8138392857142858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SUMIFS(General!$L:$L, General!$B:$B, $A6, General!$D:$D, "Out Ports")</f>
        <v>2.2571428571428571</v>
      </c>
      <c r="D6">
        <f t="shared" si="0"/>
        <v>9.07</v>
      </c>
    </row>
    <row r="7" spans="1:4" x14ac:dyDescent="0.25">
      <c r="A7" t="s">
        <v>10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SUMIFS(General!$L:$L, General!$B:$B, $A7, General!$D:$D, "London")</f>
        <v>238.57142857142856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SUMIFS(General!$L:$L, General!$B:$B, $A7, General!$D:$D, "Out Ports")</f>
        <v>447.27321428571429</v>
      </c>
      <c r="D7">
        <f t="shared" si="0"/>
        <v>685.84</v>
      </c>
    </row>
    <row r="8" spans="1:4" x14ac:dyDescent="0.25">
      <c r="A8" t="s">
        <v>11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SUMIFS(General!$L:$L, General!$B:$B, $A8, General!$D:$D, "London")</f>
        <v>862.91294642857144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SUMIFS(General!$L:$L, General!$B:$B, $A8, General!$D:$D, "Out Ports")</f>
        <v>268.37767857142859</v>
      </c>
      <c r="D8">
        <f t="shared" si="0"/>
        <v>1131.29</v>
      </c>
    </row>
    <row r="9" spans="1:4" x14ac:dyDescent="0.25">
      <c r="A9" t="s">
        <v>12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SUMIFS(General!$L:$L, General!$B:$B, $A9, General!$D:$D, "London")</f>
        <v>28.794642857142858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SUMIFS(General!$L:$L, General!$B:$B, $A9, General!$D:$D, "Out Ports")</f>
        <v>20.799107142857142</v>
      </c>
      <c r="D9">
        <f t="shared" si="0"/>
        <v>49.59</v>
      </c>
    </row>
    <row r="10" spans="1:4" x14ac:dyDescent="0.25">
      <c r="A10" t="s">
        <v>13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SUMIFS(General!$L:$L, General!$B:$B, $A10, General!$D:$D, "London")</f>
        <v>62.836607142857147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SUMIFS(General!$L:$L, General!$B:$B, $A10, General!$D:$D, "Out Ports")</f>
        <v>48.925892857142863</v>
      </c>
      <c r="D10">
        <f t="shared" si="0"/>
        <v>111.76</v>
      </c>
    </row>
    <row r="11" spans="1:4" x14ac:dyDescent="0.25">
      <c r="A11" t="s">
        <v>14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SUMIFS(General!$L:$L, General!$B:$B, $A11, General!$D:$D, "London")</f>
        <v>39.082142857142856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SUMIFS(General!$L:$L, General!$B:$B, $A11, General!$D:$D, "Out Ports")</f>
        <v>10.488839285714285</v>
      </c>
      <c r="D11">
        <f t="shared" si="0"/>
        <v>49.57</v>
      </c>
    </row>
    <row r="12" spans="1:4" x14ac:dyDescent="0.25">
      <c r="A12" t="s">
        <v>15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SUMIFS(General!$L:$L, General!$B:$B, $A12, General!$D:$D, "London")</f>
        <v>1.2642857142857142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SUMIFS(General!$L:$L, General!$B:$B, $A12, General!$D:$D, "Out Ports")</f>
        <v>4.5263392857142852</v>
      </c>
      <c r="D12">
        <f t="shared" si="0"/>
        <v>5.79</v>
      </c>
    </row>
    <row r="13" spans="1:4" x14ac:dyDescent="0.25">
      <c r="A13" t="s">
        <v>16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SUMIFS(General!$L:$L, General!$B:$B, $A13, General!$D:$D, "London")</f>
        <v>34.9375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SUMIFS(General!$L:$L, General!$B:$B, $A13, General!$D:$D, "Out Ports")</f>
        <v>15.640625</v>
      </c>
      <c r="D13">
        <f t="shared" si="0"/>
        <v>50.58</v>
      </c>
    </row>
    <row r="14" spans="1:4" x14ac:dyDescent="0.25">
      <c r="A14" t="s">
        <v>17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SUMIFS(General!$L:$L, General!$B:$B, $A14, General!$D:$D, "London")</f>
        <v>46.890625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SUMIFS(General!$L:$L, General!$B:$B, $A14, General!$D:$D, "Out Ports")</f>
        <v>22.776785714285715</v>
      </c>
      <c r="D14">
        <f t="shared" si="0"/>
        <v>69.67</v>
      </c>
    </row>
    <row r="15" spans="1:4" x14ac:dyDescent="0.25">
      <c r="A15" t="s">
        <v>18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SUMIFS(General!$L:$L, General!$B:$B, $A15, General!$D:$D, "London")</f>
        <v>3.0464285714285713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SUMIFS(General!$L:$L, General!$B:$B, $A15, General!$D:$D, "Out Ports")</f>
        <v>134.63392857142858</v>
      </c>
      <c r="D15">
        <f t="shared" si="0"/>
        <v>137.68</v>
      </c>
    </row>
    <row r="16" spans="1:4" x14ac:dyDescent="0.25">
      <c r="A16" t="s">
        <v>19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SUMIFS(General!$L:$L, General!$B:$B, $A16, General!$D:$D, "London")</f>
        <v>544.82767857142869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SUMIFS(General!$L:$L, General!$B:$B, $A16, General!$D:$D, "Out Ports")</f>
        <v>56.216071428571425</v>
      </c>
      <c r="D16">
        <f t="shared" si="0"/>
        <v>601.04</v>
      </c>
    </row>
    <row r="17" spans="1:4" x14ac:dyDescent="0.25">
      <c r="A17" t="s">
        <v>20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SUMIFS(General!$L:$L, General!$B:$B, $A17, General!$D:$D, "London")</f>
        <v>29.204017857142858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SUMIFS(General!$L:$L, General!$B:$B, $A17, General!$D:$D, "Out Ports")</f>
        <v>2.4098214285714286</v>
      </c>
      <c r="D17">
        <f t="shared" si="0"/>
        <v>31.61</v>
      </c>
    </row>
    <row r="18" spans="1:4" x14ac:dyDescent="0.25">
      <c r="A18" t="s">
        <v>55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SUMIFS(General!$L:$L, General!$B:$B, $A18, General!$D:$D, "London")</f>
        <v>1.469642857142857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SUMIFS(General!$L:$L, General!$B:$B, $A18, General!$D:$D, "Out Ports")</f>
        <v>4.776785714285714E-2</v>
      </c>
      <c r="D18">
        <f t="shared" si="0"/>
        <v>1.52</v>
      </c>
    </row>
    <row r="19" spans="1:4" x14ac:dyDescent="0.25">
      <c r="A19" t="s">
        <v>21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SUMIFS(General!$L:$L, General!$B:$B, $A19, General!$D:$D, "London")</f>
        <v>0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SUMIFS(General!$L:$L, General!$B:$B, $A19, General!$D:$D, "Out Ports")</f>
        <v>0.58616071428571426</v>
      </c>
      <c r="D19">
        <f t="shared" si="0"/>
        <v>0.59</v>
      </c>
    </row>
    <row r="20" spans="1:4" x14ac:dyDescent="0.25">
      <c r="A20" t="s">
        <v>22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SUMIFS(General!$L:$L, General!$B:$B, $A20, General!$D:$D, "London")</f>
        <v>1.908482142857143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SUMIFS(General!$L:$L, General!$B:$B, $A20, General!$D:$D, "Out Ports")</f>
        <v>1.0709821428571429</v>
      </c>
      <c r="D20">
        <f t="shared" si="0"/>
        <v>2.98</v>
      </c>
    </row>
    <row r="21" spans="1:4" x14ac:dyDescent="0.25">
      <c r="A21" t="s">
        <v>23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SUMIFS(General!$L:$L, General!$B:$B, $A21, General!$D:$D,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SUMIFS(General!$L:$L, General!$B:$B, $A21, General!$D:$D, "Out Ports")</f>
        <v>0</v>
      </c>
      <c r="D21">
        <f t="shared" si="0"/>
        <v>0</v>
      </c>
    </row>
    <row r="22" spans="1:4" x14ac:dyDescent="0.25">
      <c r="A22" t="s">
        <v>24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SUMIFS(General!$L:$L, General!$B:$B, $A22, 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SUMIFS(General!$L:$L, General!$B:$B, $A22, General!$D:$D, "Out Ports")</f>
        <v>0</v>
      </c>
      <c r="D22">
        <f t="shared" si="0"/>
        <v>0</v>
      </c>
    </row>
    <row r="23" spans="1:4" x14ac:dyDescent="0.25">
      <c r="A23" t="s">
        <v>25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SUMIFS(General!$L:$L, General!$B:$B, $A23, 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SUMIFS(General!$L:$L, General!$B:$B, $A23, General!$D:$D, "Out Ports")</f>
        <v>0</v>
      </c>
      <c r="D23">
        <f t="shared" si="0"/>
        <v>0</v>
      </c>
    </row>
    <row r="24" spans="1:4" x14ac:dyDescent="0.25">
      <c r="A24" t="s">
        <v>26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SUMIFS(General!$L:$L, General!$B:$B, $A24, 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SUMIFS(General!$L:$L, General!$B:$B, $A24, General!$D:$D, "Out Ports")</f>
        <v>0</v>
      </c>
      <c r="D24">
        <f t="shared" si="0"/>
        <v>0</v>
      </c>
    </row>
    <row r="25" spans="1:4" x14ac:dyDescent="0.25">
      <c r="A25" t="s">
        <v>27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SUMIFS(General!$L:$L, General!$B:$B, $A25, General!$D:$D, "London")</f>
        <v>0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SUMIFS(General!$L:$L, General!$B:$B, $A25, General!$D:$D, "Out Ports")</f>
        <v>0</v>
      </c>
      <c r="D25">
        <f t="shared" si="0"/>
        <v>0</v>
      </c>
    </row>
    <row r="26" spans="1:4" x14ac:dyDescent="0.25">
      <c r="A26" t="s">
        <v>28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SUMIFS(General!$L:$L, General!$B:$B, $A26, General!$D:$D, "London")</f>
        <v>58.077232142857142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SUMIFS(General!$L:$L, General!$B:$B, $A26, General!$D:$D, "Out Ports")</f>
        <v>2.2303571428571431</v>
      </c>
      <c r="D26">
        <f t="shared" si="0"/>
        <v>60.31</v>
      </c>
    </row>
    <row r="27" spans="1:4" x14ac:dyDescent="0.25">
      <c r="A27" t="s">
        <v>62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SUMIFS(General!$L:$L, General!$B:$B, $A27, General!$D:$D, "London")</f>
        <v>108.55000000000001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SUMIFS(General!$L:$L, General!$B:$B, $A27, General!$D:$D, "Out Ports")</f>
        <v>7.3526785714285712</v>
      </c>
      <c r="D27">
        <f t="shared" si="0"/>
        <v>115.9</v>
      </c>
    </row>
    <row r="28" spans="1:4" x14ac:dyDescent="0.25">
      <c r="A28" t="s">
        <v>63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SUMIFS(General!$L:$L, General!$B:$B, $A28, General!$D:$D, "London")</f>
        <v>512.92589285714291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SUMIFS(General!$L:$L, General!$B:$B, $A28, General!$D:$D, "Out Ports")</f>
        <v>252.15401785714286</v>
      </c>
      <c r="D28">
        <f t="shared" si="0"/>
        <v>765.08</v>
      </c>
    </row>
    <row r="29" spans="1:4" x14ac:dyDescent="0.25">
      <c r="A29" t="s">
        <v>64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SUMIFS(General!$L:$L, General!$B:$B, $A29, General!$D:$D, "London")</f>
        <v>785.10446428571436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SUMIFS(General!$L:$L, General!$B:$B, $A29, General!$D:$D, "Out Ports")</f>
        <v>524.04241071428567</v>
      </c>
      <c r="D29">
        <f t="shared" si="0"/>
        <v>1309.1500000000001</v>
      </c>
    </row>
    <row r="30" spans="1:4" x14ac:dyDescent="0.25">
      <c r="A30" t="s">
        <v>65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SUMIFS(General!$L:$L, General!$B:$B, $A30, General!$D:$D, "London")</f>
        <v>48.5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SUMIFS(General!$L:$L, General!$B:$B, $A30, General!$D:$D, "Out Ports")</f>
        <v>40.771428571428572</v>
      </c>
      <c r="D30">
        <f t="shared" si="0"/>
        <v>89.27</v>
      </c>
    </row>
    <row r="31" spans="1:4" x14ac:dyDescent="0.25">
      <c r="A31" t="s">
        <v>66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SUMIFS(General!$L:$L, General!$B:$B, $A31, 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SUMIFS(General!$L:$L, General!$B:$B, $A31, General!$D:$D, "Out Ports")</f>
        <v>0.05</v>
      </c>
      <c r="D31">
        <f t="shared" si="0"/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43"/>
  <sheetViews>
    <sheetView topLeftCell="A7" workbookViewId="0">
      <selection activeCell="H7" sqref="H7"/>
    </sheetView>
  </sheetViews>
  <sheetFormatPr defaultRowHeight="15" x14ac:dyDescent="0.25"/>
  <cols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29</v>
      </c>
      <c r="F1" s="1" t="s">
        <v>30</v>
      </c>
      <c r="G1" s="1" t="s">
        <v>31</v>
      </c>
      <c r="H1" s="1" t="s">
        <v>32</v>
      </c>
      <c r="I1" s="1"/>
      <c r="J1" s="1" t="s">
        <v>33</v>
      </c>
      <c r="K1" s="1"/>
      <c r="L1" s="1" t="s">
        <v>53</v>
      </c>
      <c r="O1" s="1"/>
    </row>
    <row r="2" spans="1:15" x14ac:dyDescent="0.25">
      <c r="A2">
        <v>1723</v>
      </c>
      <c r="B2" t="s">
        <v>38</v>
      </c>
      <c r="C2" t="s">
        <v>54</v>
      </c>
      <c r="D2" t="s">
        <v>34</v>
      </c>
      <c r="H2">
        <v>2465</v>
      </c>
      <c r="J2">
        <f t="shared" ref="J2:J43" si="0">(E2*2240)+(F2*112)+(G2*28)+H2</f>
        <v>2465</v>
      </c>
      <c r="L2">
        <f t="shared" ref="L2:L43" si="1">J2/2240</f>
        <v>1.1004464285714286</v>
      </c>
    </row>
    <row r="3" spans="1:15" x14ac:dyDescent="0.25">
      <c r="A3">
        <v>1723</v>
      </c>
      <c r="B3" t="s">
        <v>4</v>
      </c>
      <c r="C3" t="s">
        <v>54</v>
      </c>
      <c r="D3" t="s">
        <v>34</v>
      </c>
      <c r="J3">
        <f t="shared" si="0"/>
        <v>0</v>
      </c>
      <c r="L3">
        <f t="shared" si="1"/>
        <v>0</v>
      </c>
    </row>
    <row r="4" spans="1:15" x14ac:dyDescent="0.25">
      <c r="A4">
        <v>1723</v>
      </c>
      <c r="B4" t="s">
        <v>6</v>
      </c>
      <c r="C4" t="s">
        <v>54</v>
      </c>
      <c r="D4" t="s">
        <v>34</v>
      </c>
      <c r="F4">
        <v>124182</v>
      </c>
      <c r="G4">
        <v>2</v>
      </c>
      <c r="H4">
        <v>16</v>
      </c>
      <c r="J4">
        <f t="shared" si="0"/>
        <v>13908456</v>
      </c>
      <c r="L4">
        <f t="shared" si="1"/>
        <v>6209.1321428571428</v>
      </c>
    </row>
    <row r="5" spans="1:15" x14ac:dyDescent="0.25">
      <c r="A5">
        <v>1723</v>
      </c>
      <c r="B5" t="s">
        <v>8</v>
      </c>
      <c r="C5" t="s">
        <v>54</v>
      </c>
      <c r="D5" t="s">
        <v>34</v>
      </c>
      <c r="J5">
        <f t="shared" si="0"/>
        <v>0</v>
      </c>
      <c r="L5">
        <f t="shared" si="1"/>
        <v>0</v>
      </c>
    </row>
    <row r="6" spans="1:15" x14ac:dyDescent="0.25">
      <c r="A6">
        <v>1723</v>
      </c>
      <c r="B6" t="s">
        <v>9</v>
      </c>
      <c r="C6" t="s">
        <v>54</v>
      </c>
      <c r="D6" t="s">
        <v>34</v>
      </c>
      <c r="F6">
        <v>17</v>
      </c>
      <c r="H6">
        <v>14</v>
      </c>
      <c r="J6">
        <f t="shared" si="0"/>
        <v>1918</v>
      </c>
      <c r="L6">
        <f t="shared" si="1"/>
        <v>0.85624999999999996</v>
      </c>
    </row>
    <row r="7" spans="1:15" x14ac:dyDescent="0.25">
      <c r="A7">
        <v>1723</v>
      </c>
      <c r="B7" t="s">
        <v>10</v>
      </c>
      <c r="C7" t="s">
        <v>54</v>
      </c>
      <c r="D7" t="s">
        <v>34</v>
      </c>
      <c r="H7">
        <f>1332*200</f>
        <v>266400</v>
      </c>
      <c r="I7" t="s">
        <v>79</v>
      </c>
      <c r="J7">
        <f t="shared" si="0"/>
        <v>266400</v>
      </c>
      <c r="L7">
        <f t="shared" si="1"/>
        <v>118.92857142857143</v>
      </c>
    </row>
    <row r="8" spans="1:15" x14ac:dyDescent="0.25">
      <c r="A8">
        <v>1723</v>
      </c>
      <c r="B8" t="s">
        <v>11</v>
      </c>
      <c r="C8" t="s">
        <v>54</v>
      </c>
      <c r="D8" t="s">
        <v>34</v>
      </c>
      <c r="F8">
        <v>2625</v>
      </c>
      <c r="H8">
        <v>15</v>
      </c>
      <c r="J8">
        <f t="shared" si="0"/>
        <v>294015</v>
      </c>
      <c r="L8">
        <f t="shared" si="1"/>
        <v>131.25669642857142</v>
      </c>
    </row>
    <row r="9" spans="1:15" x14ac:dyDescent="0.25">
      <c r="A9">
        <v>1723</v>
      </c>
      <c r="B9" t="s">
        <v>12</v>
      </c>
      <c r="C9" t="s">
        <v>54</v>
      </c>
      <c r="D9" t="s">
        <v>34</v>
      </c>
      <c r="J9">
        <f t="shared" si="0"/>
        <v>0</v>
      </c>
      <c r="L9">
        <f t="shared" si="1"/>
        <v>0</v>
      </c>
    </row>
    <row r="10" spans="1:15" x14ac:dyDescent="0.25">
      <c r="A10">
        <v>1723</v>
      </c>
      <c r="B10" t="s">
        <v>41</v>
      </c>
      <c r="C10" t="s">
        <v>54</v>
      </c>
      <c r="D10" t="s">
        <v>34</v>
      </c>
      <c r="H10">
        <v>5</v>
      </c>
      <c r="J10">
        <f t="shared" si="0"/>
        <v>5</v>
      </c>
      <c r="L10">
        <f t="shared" si="1"/>
        <v>2.232142857142857E-3</v>
      </c>
    </row>
    <row r="11" spans="1:15" x14ac:dyDescent="0.25">
      <c r="A11">
        <v>1723</v>
      </c>
      <c r="B11" t="s">
        <v>13</v>
      </c>
      <c r="C11" t="s">
        <v>54</v>
      </c>
      <c r="D11" t="s">
        <v>34</v>
      </c>
      <c r="H11">
        <v>1508</v>
      </c>
      <c r="J11">
        <f t="shared" si="0"/>
        <v>1508</v>
      </c>
      <c r="L11">
        <f t="shared" si="1"/>
        <v>0.67321428571428577</v>
      </c>
    </row>
    <row r="12" spans="1:15" x14ac:dyDescent="0.25">
      <c r="A12">
        <v>1723</v>
      </c>
      <c r="B12" t="s">
        <v>35</v>
      </c>
      <c r="C12" t="s">
        <v>54</v>
      </c>
      <c r="D12" t="s">
        <v>34</v>
      </c>
      <c r="J12">
        <f t="shared" si="0"/>
        <v>0</v>
      </c>
      <c r="L12">
        <f t="shared" si="1"/>
        <v>0</v>
      </c>
    </row>
    <row r="13" spans="1:15" x14ac:dyDescent="0.25">
      <c r="A13">
        <v>1723</v>
      </c>
      <c r="B13" t="s">
        <v>14</v>
      </c>
      <c r="C13" t="s">
        <v>54</v>
      </c>
      <c r="D13" t="s">
        <v>34</v>
      </c>
      <c r="E13">
        <v>21</v>
      </c>
      <c r="F13">
        <v>7</v>
      </c>
      <c r="G13">
        <v>3</v>
      </c>
      <c r="J13">
        <f t="shared" si="0"/>
        <v>47908</v>
      </c>
      <c r="L13">
        <f t="shared" si="1"/>
        <v>21.387499999999999</v>
      </c>
    </row>
    <row r="14" spans="1:15" x14ac:dyDescent="0.25">
      <c r="A14">
        <v>1723</v>
      </c>
      <c r="B14" t="s">
        <v>15</v>
      </c>
      <c r="C14" t="s">
        <v>54</v>
      </c>
      <c r="D14" t="s">
        <v>34</v>
      </c>
      <c r="J14">
        <f t="shared" si="0"/>
        <v>0</v>
      </c>
      <c r="L14">
        <f t="shared" si="1"/>
        <v>0</v>
      </c>
    </row>
    <row r="15" spans="1:15" x14ac:dyDescent="0.25">
      <c r="A15">
        <v>1723</v>
      </c>
      <c r="B15" t="s">
        <v>28</v>
      </c>
      <c r="C15" t="s">
        <v>54</v>
      </c>
      <c r="D15" t="s">
        <v>34</v>
      </c>
      <c r="H15">
        <v>24666</v>
      </c>
      <c r="I15" t="s">
        <v>78</v>
      </c>
      <c r="J15">
        <f t="shared" si="0"/>
        <v>24666</v>
      </c>
      <c r="L15">
        <f t="shared" si="1"/>
        <v>11.011607142857143</v>
      </c>
    </row>
    <row r="16" spans="1:15" x14ac:dyDescent="0.25">
      <c r="A16">
        <v>1723</v>
      </c>
      <c r="B16" t="s">
        <v>16</v>
      </c>
      <c r="C16" t="s">
        <v>54</v>
      </c>
      <c r="D16" t="s">
        <v>34</v>
      </c>
      <c r="J16">
        <f t="shared" si="0"/>
        <v>0</v>
      </c>
      <c r="L16">
        <f t="shared" si="1"/>
        <v>0</v>
      </c>
    </row>
    <row r="17" spans="1:12" x14ac:dyDescent="0.25">
      <c r="A17">
        <v>1723</v>
      </c>
      <c r="B17" t="s">
        <v>48</v>
      </c>
      <c r="C17" t="s">
        <v>54</v>
      </c>
      <c r="D17" t="s">
        <v>34</v>
      </c>
      <c r="J17">
        <f t="shared" si="0"/>
        <v>0</v>
      </c>
      <c r="L17">
        <f t="shared" si="1"/>
        <v>0</v>
      </c>
    </row>
    <row r="18" spans="1:12" x14ac:dyDescent="0.25">
      <c r="A18">
        <v>1723</v>
      </c>
      <c r="B18" t="s">
        <v>17</v>
      </c>
      <c r="C18" t="s">
        <v>54</v>
      </c>
      <c r="D18" t="s">
        <v>34</v>
      </c>
      <c r="H18">
        <v>245</v>
      </c>
      <c r="J18">
        <f t="shared" si="0"/>
        <v>245</v>
      </c>
      <c r="L18">
        <f t="shared" si="1"/>
        <v>0.109375</v>
      </c>
    </row>
    <row r="19" spans="1:12" x14ac:dyDescent="0.25">
      <c r="A19">
        <v>1723</v>
      </c>
      <c r="B19" t="s">
        <v>19</v>
      </c>
      <c r="C19" t="s">
        <v>54</v>
      </c>
      <c r="D19" t="s">
        <v>34</v>
      </c>
      <c r="H19">
        <v>385920</v>
      </c>
      <c r="I19" t="s">
        <v>80</v>
      </c>
      <c r="J19">
        <f t="shared" si="0"/>
        <v>385920</v>
      </c>
      <c r="L19">
        <f t="shared" si="1"/>
        <v>172.28571428571428</v>
      </c>
    </row>
    <row r="20" spans="1:12" x14ac:dyDescent="0.25">
      <c r="A20">
        <v>1723</v>
      </c>
      <c r="B20" t="s">
        <v>20</v>
      </c>
      <c r="C20" t="s">
        <v>54</v>
      </c>
      <c r="D20" t="s">
        <v>34</v>
      </c>
      <c r="F20">
        <v>30</v>
      </c>
      <c r="H20">
        <v>14</v>
      </c>
      <c r="J20">
        <f t="shared" si="0"/>
        <v>3374</v>
      </c>
      <c r="L20">
        <f t="shared" si="1"/>
        <v>1.5062500000000001</v>
      </c>
    </row>
    <row r="21" spans="1:12" x14ac:dyDescent="0.25">
      <c r="A21">
        <v>1723</v>
      </c>
      <c r="B21" t="s">
        <v>55</v>
      </c>
      <c r="C21" t="s">
        <v>54</v>
      </c>
      <c r="D21" t="s">
        <v>34</v>
      </c>
      <c r="H21">
        <v>444</v>
      </c>
      <c r="J21">
        <f t="shared" si="0"/>
        <v>444</v>
      </c>
      <c r="L21">
        <f t="shared" si="1"/>
        <v>0.1982142857142857</v>
      </c>
    </row>
    <row r="22" spans="1:12" x14ac:dyDescent="0.25">
      <c r="A22">
        <v>1723</v>
      </c>
      <c r="B22" t="s">
        <v>21</v>
      </c>
      <c r="C22" t="s">
        <v>54</v>
      </c>
      <c r="D22" t="s">
        <v>34</v>
      </c>
      <c r="J22">
        <f t="shared" si="0"/>
        <v>0</v>
      </c>
      <c r="L22">
        <f t="shared" si="1"/>
        <v>0</v>
      </c>
    </row>
    <row r="23" spans="1:12" x14ac:dyDescent="0.25">
      <c r="A23">
        <v>1723</v>
      </c>
      <c r="B23" t="s">
        <v>22</v>
      </c>
      <c r="C23" t="s">
        <v>54</v>
      </c>
      <c r="D23" t="s">
        <v>34</v>
      </c>
      <c r="J23">
        <f t="shared" si="0"/>
        <v>0</v>
      </c>
      <c r="L23">
        <f t="shared" si="1"/>
        <v>0</v>
      </c>
    </row>
    <row r="24" spans="1:12" x14ac:dyDescent="0.25">
      <c r="A24">
        <v>1723</v>
      </c>
      <c r="B24" t="s">
        <v>23</v>
      </c>
      <c r="C24" t="s">
        <v>54</v>
      </c>
      <c r="D24" t="s">
        <v>34</v>
      </c>
      <c r="J24">
        <f t="shared" si="0"/>
        <v>0</v>
      </c>
      <c r="L24">
        <f t="shared" si="1"/>
        <v>0</v>
      </c>
    </row>
    <row r="25" spans="1:12" x14ac:dyDescent="0.25">
      <c r="A25">
        <v>1723</v>
      </c>
      <c r="B25" t="s">
        <v>63</v>
      </c>
      <c r="C25" t="s">
        <v>54</v>
      </c>
      <c r="D25" t="s">
        <v>34</v>
      </c>
      <c r="E25">
        <v>25</v>
      </c>
      <c r="J25">
        <f t="shared" si="0"/>
        <v>56000</v>
      </c>
      <c r="L25">
        <f t="shared" si="1"/>
        <v>25</v>
      </c>
    </row>
    <row r="26" spans="1:12" x14ac:dyDescent="0.25">
      <c r="A26">
        <v>1723</v>
      </c>
      <c r="B26" t="s">
        <v>6</v>
      </c>
      <c r="C26" t="s">
        <v>54</v>
      </c>
      <c r="D26" t="s">
        <v>36</v>
      </c>
      <c r="F26">
        <v>25178</v>
      </c>
      <c r="G26">
        <v>2</v>
      </c>
      <c r="H26">
        <v>18</v>
      </c>
      <c r="J26">
        <f t="shared" si="0"/>
        <v>2820010</v>
      </c>
      <c r="L26">
        <f t="shared" si="1"/>
        <v>1258.9330357142858</v>
      </c>
    </row>
    <row r="27" spans="1:12" x14ac:dyDescent="0.25">
      <c r="A27">
        <v>1723</v>
      </c>
      <c r="B27" t="s">
        <v>37</v>
      </c>
      <c r="C27" t="s">
        <v>54</v>
      </c>
      <c r="D27" t="s">
        <v>36</v>
      </c>
      <c r="J27">
        <f t="shared" si="0"/>
        <v>0</v>
      </c>
      <c r="L27">
        <f t="shared" si="1"/>
        <v>0</v>
      </c>
    </row>
    <row r="28" spans="1:12" x14ac:dyDescent="0.25">
      <c r="A28">
        <v>1723</v>
      </c>
      <c r="B28" t="s">
        <v>9</v>
      </c>
      <c r="C28" t="s">
        <v>54</v>
      </c>
      <c r="D28" t="s">
        <v>36</v>
      </c>
      <c r="F28">
        <v>5</v>
      </c>
      <c r="G28">
        <v>2</v>
      </c>
      <c r="J28">
        <f t="shared" si="0"/>
        <v>616</v>
      </c>
      <c r="L28">
        <f t="shared" si="1"/>
        <v>0.27500000000000002</v>
      </c>
    </row>
    <row r="29" spans="1:12" x14ac:dyDescent="0.25">
      <c r="A29">
        <v>1723</v>
      </c>
      <c r="B29" t="s">
        <v>10</v>
      </c>
      <c r="C29" t="s">
        <v>54</v>
      </c>
      <c r="D29" t="s">
        <v>36</v>
      </c>
      <c r="F29">
        <v>3778</v>
      </c>
      <c r="G29">
        <v>3</v>
      </c>
      <c r="H29">
        <v>9</v>
      </c>
      <c r="J29">
        <f t="shared" si="0"/>
        <v>423229</v>
      </c>
      <c r="L29">
        <f t="shared" si="1"/>
        <v>188.94151785714286</v>
      </c>
    </row>
    <row r="30" spans="1:12" x14ac:dyDescent="0.25">
      <c r="A30">
        <v>1723</v>
      </c>
      <c r="B30" t="s">
        <v>11</v>
      </c>
      <c r="C30" t="s">
        <v>54</v>
      </c>
      <c r="D30" t="s">
        <v>36</v>
      </c>
      <c r="F30">
        <v>395</v>
      </c>
      <c r="G30">
        <v>3</v>
      </c>
      <c r="H30">
        <v>13</v>
      </c>
      <c r="J30">
        <f t="shared" si="0"/>
        <v>44337</v>
      </c>
      <c r="L30">
        <f t="shared" si="1"/>
        <v>19.79330357142857</v>
      </c>
    </row>
    <row r="31" spans="1:12" x14ac:dyDescent="0.25">
      <c r="A31">
        <v>1723</v>
      </c>
      <c r="B31" t="s">
        <v>12</v>
      </c>
      <c r="C31" t="s">
        <v>54</v>
      </c>
      <c r="D31" t="s">
        <v>36</v>
      </c>
      <c r="G31">
        <v>1</v>
      </c>
      <c r="H31">
        <v>14</v>
      </c>
      <c r="J31">
        <f t="shared" si="0"/>
        <v>42</v>
      </c>
      <c r="L31">
        <f t="shared" si="1"/>
        <v>1.8749999999999999E-2</v>
      </c>
    </row>
    <row r="32" spans="1:12" x14ac:dyDescent="0.25">
      <c r="A32">
        <v>1723</v>
      </c>
      <c r="B32" t="s">
        <v>13</v>
      </c>
      <c r="C32" t="s">
        <v>54</v>
      </c>
      <c r="D32" t="s">
        <v>36</v>
      </c>
      <c r="H32">
        <v>3315</v>
      </c>
      <c r="J32">
        <f t="shared" si="0"/>
        <v>3315</v>
      </c>
      <c r="L32">
        <f t="shared" si="1"/>
        <v>1.4799107142857142</v>
      </c>
    </row>
    <row r="33" spans="1:12" x14ac:dyDescent="0.25">
      <c r="A33">
        <v>1723</v>
      </c>
      <c r="B33" t="s">
        <v>14</v>
      </c>
      <c r="C33" t="s">
        <v>54</v>
      </c>
      <c r="D33" t="s">
        <v>36</v>
      </c>
      <c r="F33">
        <v>12</v>
      </c>
      <c r="J33">
        <f t="shared" si="0"/>
        <v>1344</v>
      </c>
      <c r="L33">
        <f t="shared" si="1"/>
        <v>0.6</v>
      </c>
    </row>
    <row r="34" spans="1:12" x14ac:dyDescent="0.25">
      <c r="A34">
        <v>1723</v>
      </c>
      <c r="B34" t="s">
        <v>15</v>
      </c>
      <c r="C34" t="s">
        <v>54</v>
      </c>
      <c r="D34" t="s">
        <v>36</v>
      </c>
      <c r="H34">
        <v>520</v>
      </c>
      <c r="I34" t="s">
        <v>103</v>
      </c>
      <c r="J34">
        <f t="shared" si="0"/>
        <v>520</v>
      </c>
      <c r="L34">
        <f t="shared" si="1"/>
        <v>0.23214285714285715</v>
      </c>
    </row>
    <row r="35" spans="1:12" x14ac:dyDescent="0.25">
      <c r="A35">
        <v>1723</v>
      </c>
      <c r="B35" t="s">
        <v>28</v>
      </c>
      <c r="C35" t="s">
        <v>54</v>
      </c>
      <c r="D35" t="s">
        <v>36</v>
      </c>
      <c r="J35">
        <f t="shared" si="0"/>
        <v>0</v>
      </c>
      <c r="L35">
        <f t="shared" si="1"/>
        <v>0</v>
      </c>
    </row>
    <row r="36" spans="1:12" x14ac:dyDescent="0.25">
      <c r="A36">
        <v>1723</v>
      </c>
      <c r="B36" t="s">
        <v>16</v>
      </c>
      <c r="C36" t="s">
        <v>54</v>
      </c>
      <c r="D36" t="s">
        <v>36</v>
      </c>
      <c r="F36">
        <v>47</v>
      </c>
      <c r="G36">
        <v>1</v>
      </c>
      <c r="H36">
        <v>11</v>
      </c>
      <c r="J36">
        <f t="shared" si="0"/>
        <v>5303</v>
      </c>
      <c r="L36">
        <f t="shared" si="1"/>
        <v>2.3674107142857141</v>
      </c>
    </row>
    <row r="37" spans="1:12" x14ac:dyDescent="0.25">
      <c r="A37">
        <v>1723</v>
      </c>
      <c r="B37" t="s">
        <v>18</v>
      </c>
      <c r="C37" t="s">
        <v>54</v>
      </c>
      <c r="D37" t="s">
        <v>36</v>
      </c>
      <c r="J37">
        <f t="shared" si="0"/>
        <v>0</v>
      </c>
      <c r="L37">
        <f t="shared" si="1"/>
        <v>0</v>
      </c>
    </row>
    <row r="38" spans="1:12" x14ac:dyDescent="0.25">
      <c r="A38">
        <v>1723</v>
      </c>
      <c r="B38" t="s">
        <v>19</v>
      </c>
      <c r="C38" t="s">
        <v>54</v>
      </c>
      <c r="D38" t="s">
        <v>36</v>
      </c>
      <c r="H38">
        <v>29975</v>
      </c>
      <c r="I38" t="s">
        <v>104</v>
      </c>
      <c r="J38">
        <f t="shared" si="0"/>
        <v>29975</v>
      </c>
      <c r="L38">
        <f t="shared" si="1"/>
        <v>13.381696428571429</v>
      </c>
    </row>
    <row r="39" spans="1:12" x14ac:dyDescent="0.25">
      <c r="A39">
        <v>1723</v>
      </c>
      <c r="B39" t="s">
        <v>20</v>
      </c>
      <c r="C39" t="s">
        <v>54</v>
      </c>
      <c r="D39" t="s">
        <v>36</v>
      </c>
      <c r="J39">
        <f t="shared" si="0"/>
        <v>0</v>
      </c>
      <c r="L39">
        <f t="shared" si="1"/>
        <v>0</v>
      </c>
    </row>
    <row r="40" spans="1:12" x14ac:dyDescent="0.25">
      <c r="A40">
        <v>1723</v>
      </c>
      <c r="B40" t="s">
        <v>55</v>
      </c>
      <c r="C40" t="s">
        <v>54</v>
      </c>
      <c r="D40" t="s">
        <v>36</v>
      </c>
      <c r="H40">
        <v>13</v>
      </c>
      <c r="J40">
        <f t="shared" si="0"/>
        <v>13</v>
      </c>
      <c r="L40">
        <f t="shared" si="1"/>
        <v>5.8035714285714288E-3</v>
      </c>
    </row>
    <row r="41" spans="1:12" x14ac:dyDescent="0.25">
      <c r="A41">
        <v>1723</v>
      </c>
      <c r="B41" t="s">
        <v>21</v>
      </c>
      <c r="C41" t="s">
        <v>54</v>
      </c>
      <c r="D41" t="s">
        <v>36</v>
      </c>
      <c r="J41">
        <f t="shared" si="0"/>
        <v>0</v>
      </c>
      <c r="L41">
        <f t="shared" si="1"/>
        <v>0</v>
      </c>
    </row>
    <row r="42" spans="1:12" x14ac:dyDescent="0.25">
      <c r="A42">
        <v>1723</v>
      </c>
      <c r="B42" t="s">
        <v>22</v>
      </c>
      <c r="C42" t="s">
        <v>54</v>
      </c>
      <c r="D42" t="s">
        <v>36</v>
      </c>
      <c r="J42">
        <f t="shared" si="0"/>
        <v>0</v>
      </c>
      <c r="L42">
        <f t="shared" si="1"/>
        <v>0</v>
      </c>
    </row>
    <row r="43" spans="1:12" x14ac:dyDescent="0.25">
      <c r="A43">
        <v>1723</v>
      </c>
      <c r="B43" t="s">
        <v>23</v>
      </c>
      <c r="C43" t="s">
        <v>54</v>
      </c>
      <c r="D43" t="s">
        <v>36</v>
      </c>
      <c r="J43">
        <f t="shared" si="0"/>
        <v>0</v>
      </c>
      <c r="L43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66"/>
  <sheetViews>
    <sheetView topLeftCell="A17" workbookViewId="0">
      <selection activeCell="H18" sqref="H18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29</v>
      </c>
      <c r="F1" s="1" t="s">
        <v>30</v>
      </c>
      <c r="G1" s="1" t="s">
        <v>31</v>
      </c>
      <c r="H1" s="1" t="s">
        <v>32</v>
      </c>
      <c r="I1" s="1"/>
      <c r="J1" s="1" t="s">
        <v>33</v>
      </c>
      <c r="K1" s="1"/>
      <c r="L1" s="1" t="s">
        <v>53</v>
      </c>
    </row>
    <row r="2" spans="1:12" x14ac:dyDescent="0.25">
      <c r="A2">
        <v>1723</v>
      </c>
      <c r="B2" t="s">
        <v>56</v>
      </c>
      <c r="C2" t="s">
        <v>57</v>
      </c>
      <c r="D2" t="s">
        <v>34</v>
      </c>
      <c r="F2">
        <v>35</v>
      </c>
      <c r="J2">
        <f t="shared" ref="J2:J33" si="0">(E2*2240)+(F2*112)+(G2*28)+H2</f>
        <v>3920</v>
      </c>
      <c r="L2">
        <f t="shared" ref="L2:L7" si="1">J2/2240</f>
        <v>1.75</v>
      </c>
    </row>
    <row r="3" spans="1:12" x14ac:dyDescent="0.25">
      <c r="A3">
        <v>1723</v>
      </c>
      <c r="B3" t="s">
        <v>58</v>
      </c>
      <c r="C3" t="s">
        <v>57</v>
      </c>
      <c r="D3" t="s">
        <v>34</v>
      </c>
      <c r="J3">
        <f t="shared" si="0"/>
        <v>0</v>
      </c>
      <c r="L3">
        <f t="shared" si="1"/>
        <v>0</v>
      </c>
    </row>
    <row r="4" spans="1:12" x14ac:dyDescent="0.25">
      <c r="A4">
        <v>1723</v>
      </c>
      <c r="B4" t="s">
        <v>38</v>
      </c>
      <c r="C4" t="s">
        <v>57</v>
      </c>
      <c r="D4" t="s">
        <v>34</v>
      </c>
      <c r="H4">
        <v>37078</v>
      </c>
      <c r="J4">
        <f t="shared" si="0"/>
        <v>37078</v>
      </c>
      <c r="L4">
        <f t="shared" si="1"/>
        <v>16.552678571428572</v>
      </c>
    </row>
    <row r="5" spans="1:12" x14ac:dyDescent="0.25">
      <c r="A5">
        <v>1723</v>
      </c>
      <c r="B5" t="s">
        <v>4</v>
      </c>
      <c r="C5" t="s">
        <v>57</v>
      </c>
      <c r="D5" t="s">
        <v>34</v>
      </c>
      <c r="H5">
        <v>130</v>
      </c>
      <c r="J5">
        <f t="shared" si="0"/>
        <v>130</v>
      </c>
      <c r="L5">
        <f t="shared" si="1"/>
        <v>5.8035714285714288E-2</v>
      </c>
    </row>
    <row r="6" spans="1:12" x14ac:dyDescent="0.25">
      <c r="A6">
        <v>1723</v>
      </c>
      <c r="B6" t="s">
        <v>59</v>
      </c>
      <c r="C6" t="s">
        <v>57</v>
      </c>
      <c r="D6" t="s">
        <v>34</v>
      </c>
      <c r="J6">
        <f t="shared" si="0"/>
        <v>0</v>
      </c>
      <c r="L6">
        <f t="shared" si="1"/>
        <v>0</v>
      </c>
    </row>
    <row r="7" spans="1:12" x14ac:dyDescent="0.25">
      <c r="A7">
        <v>1723</v>
      </c>
      <c r="B7" t="s">
        <v>44</v>
      </c>
      <c r="C7" t="s">
        <v>57</v>
      </c>
      <c r="D7" t="s">
        <v>34</v>
      </c>
      <c r="J7">
        <f t="shared" si="0"/>
        <v>0</v>
      </c>
      <c r="L7">
        <f t="shared" si="1"/>
        <v>0</v>
      </c>
    </row>
    <row r="8" spans="1:12" x14ac:dyDescent="0.25">
      <c r="A8">
        <v>1723</v>
      </c>
      <c r="B8" t="s">
        <v>5</v>
      </c>
      <c r="C8" t="s">
        <v>57</v>
      </c>
      <c r="D8" t="s">
        <v>34</v>
      </c>
      <c r="H8">
        <v>40</v>
      </c>
      <c r="J8">
        <f t="shared" si="0"/>
        <v>40</v>
      </c>
      <c r="L8">
        <f t="shared" ref="L8:L9" si="2">J8/2240</f>
        <v>1.7857142857142856E-2</v>
      </c>
    </row>
    <row r="9" spans="1:12" x14ac:dyDescent="0.25">
      <c r="A9">
        <v>1723</v>
      </c>
      <c r="B9" t="s">
        <v>67</v>
      </c>
      <c r="C9" t="s">
        <v>57</v>
      </c>
      <c r="D9" t="s">
        <v>34</v>
      </c>
      <c r="F9">
        <v>2039</v>
      </c>
      <c r="G9">
        <v>3</v>
      </c>
      <c r="H9">
        <v>6</v>
      </c>
      <c r="J9">
        <f t="shared" si="0"/>
        <v>228458</v>
      </c>
      <c r="L9">
        <f t="shared" si="2"/>
        <v>101.99017857142857</v>
      </c>
    </row>
    <row r="10" spans="1:12" x14ac:dyDescent="0.25">
      <c r="A10">
        <v>1723</v>
      </c>
      <c r="B10" t="s">
        <v>60</v>
      </c>
      <c r="C10" t="s">
        <v>57</v>
      </c>
      <c r="D10" t="s">
        <v>34</v>
      </c>
      <c r="J10">
        <f t="shared" si="0"/>
        <v>0</v>
      </c>
      <c r="L10">
        <f t="shared" ref="L10:L51" si="3">J10/2240</f>
        <v>0</v>
      </c>
    </row>
    <row r="11" spans="1:12" x14ac:dyDescent="0.25">
      <c r="A11">
        <v>1723</v>
      </c>
      <c r="B11" t="s">
        <v>6</v>
      </c>
      <c r="C11" t="s">
        <v>57</v>
      </c>
      <c r="D11" t="s">
        <v>34</v>
      </c>
      <c r="F11">
        <v>143299</v>
      </c>
      <c r="G11">
        <v>2</v>
      </c>
      <c r="H11">
        <v>1</v>
      </c>
      <c r="J11">
        <f t="shared" si="0"/>
        <v>16049545</v>
      </c>
      <c r="L11">
        <f t="shared" si="3"/>
        <v>7164.9754464285716</v>
      </c>
    </row>
    <row r="12" spans="1:12" x14ac:dyDescent="0.25">
      <c r="A12">
        <v>1723</v>
      </c>
      <c r="B12" t="s">
        <v>61</v>
      </c>
      <c r="C12" t="s">
        <v>57</v>
      </c>
      <c r="D12" t="s">
        <v>34</v>
      </c>
      <c r="H12">
        <v>717</v>
      </c>
      <c r="J12">
        <f t="shared" si="0"/>
        <v>717</v>
      </c>
      <c r="L12">
        <f t="shared" si="3"/>
        <v>0.32008928571428569</v>
      </c>
    </row>
    <row r="13" spans="1:12" x14ac:dyDescent="0.25">
      <c r="A13">
        <v>1723</v>
      </c>
      <c r="B13" t="s">
        <v>40</v>
      </c>
      <c r="C13" t="s">
        <v>57</v>
      </c>
      <c r="D13" t="s">
        <v>34</v>
      </c>
      <c r="J13">
        <f t="shared" si="0"/>
        <v>0</v>
      </c>
      <c r="L13">
        <f t="shared" si="3"/>
        <v>0</v>
      </c>
    </row>
    <row r="14" spans="1:12" x14ac:dyDescent="0.25">
      <c r="A14">
        <v>1723</v>
      </c>
      <c r="B14" t="s">
        <v>39</v>
      </c>
      <c r="C14" t="s">
        <v>57</v>
      </c>
      <c r="D14" t="s">
        <v>34</v>
      </c>
      <c r="J14">
        <f t="shared" si="0"/>
        <v>0</v>
      </c>
      <c r="L14">
        <f t="shared" si="3"/>
        <v>0</v>
      </c>
    </row>
    <row r="15" spans="1:12" x14ac:dyDescent="0.25">
      <c r="A15">
        <v>1723</v>
      </c>
      <c r="B15" t="s">
        <v>9</v>
      </c>
      <c r="C15" t="s">
        <v>57</v>
      </c>
      <c r="D15" t="s">
        <v>34</v>
      </c>
      <c r="F15">
        <v>115</v>
      </c>
      <c r="H15">
        <v>15</v>
      </c>
      <c r="J15">
        <f t="shared" si="0"/>
        <v>12895</v>
      </c>
      <c r="L15">
        <f t="shared" si="3"/>
        <v>5.7566964285714288</v>
      </c>
    </row>
    <row r="16" spans="1:12" x14ac:dyDescent="0.25">
      <c r="A16">
        <v>1723</v>
      </c>
      <c r="B16" t="s">
        <v>42</v>
      </c>
      <c r="C16" t="s">
        <v>57</v>
      </c>
      <c r="D16" t="s">
        <v>34</v>
      </c>
      <c r="J16">
        <f t="shared" si="0"/>
        <v>0</v>
      </c>
      <c r="L16">
        <f t="shared" si="3"/>
        <v>0</v>
      </c>
    </row>
    <row r="17" spans="1:12" x14ac:dyDescent="0.25">
      <c r="A17">
        <v>1723</v>
      </c>
      <c r="B17" t="s">
        <v>10</v>
      </c>
      <c r="C17" t="s">
        <v>57</v>
      </c>
      <c r="D17" t="s">
        <v>34</v>
      </c>
      <c r="H17">
        <f>583*200</f>
        <v>116600</v>
      </c>
      <c r="I17" t="s">
        <v>82</v>
      </c>
      <c r="J17">
        <f t="shared" si="0"/>
        <v>116600</v>
      </c>
      <c r="L17">
        <f t="shared" si="3"/>
        <v>52.053571428571431</v>
      </c>
    </row>
    <row r="18" spans="1:12" x14ac:dyDescent="0.25">
      <c r="A18">
        <v>1723</v>
      </c>
      <c r="B18" t="s">
        <v>11</v>
      </c>
      <c r="C18" t="s">
        <v>57</v>
      </c>
      <c r="D18" t="s">
        <v>34</v>
      </c>
      <c r="F18">
        <v>4660</v>
      </c>
      <c r="G18">
        <v>3</v>
      </c>
      <c r="H18">
        <v>21</v>
      </c>
      <c r="J18">
        <f t="shared" si="0"/>
        <v>522025</v>
      </c>
      <c r="L18">
        <f t="shared" si="3"/>
        <v>233.046875</v>
      </c>
    </row>
    <row r="19" spans="1:12" x14ac:dyDescent="0.25">
      <c r="A19">
        <v>1723</v>
      </c>
      <c r="B19" t="s">
        <v>12</v>
      </c>
      <c r="C19" t="s">
        <v>57</v>
      </c>
      <c r="D19" t="s">
        <v>34</v>
      </c>
      <c r="F19">
        <v>99</v>
      </c>
      <c r="H19">
        <v>16</v>
      </c>
      <c r="J19">
        <f t="shared" si="0"/>
        <v>11104</v>
      </c>
      <c r="L19">
        <f t="shared" si="3"/>
        <v>4.9571428571428573</v>
      </c>
    </row>
    <row r="20" spans="1:12" x14ac:dyDescent="0.25">
      <c r="A20">
        <v>1723</v>
      </c>
      <c r="B20" t="s">
        <v>41</v>
      </c>
      <c r="C20" t="s">
        <v>57</v>
      </c>
      <c r="D20" t="s">
        <v>34</v>
      </c>
      <c r="H20">
        <v>327</v>
      </c>
      <c r="J20">
        <f t="shared" si="0"/>
        <v>327</v>
      </c>
      <c r="L20">
        <f t="shared" si="3"/>
        <v>0.14598214285714287</v>
      </c>
    </row>
    <row r="21" spans="1:12" x14ac:dyDescent="0.25">
      <c r="A21">
        <v>1723</v>
      </c>
      <c r="B21" t="s">
        <v>45</v>
      </c>
      <c r="C21" t="s">
        <v>57</v>
      </c>
      <c r="D21" t="s">
        <v>34</v>
      </c>
      <c r="J21">
        <f t="shared" si="0"/>
        <v>0</v>
      </c>
      <c r="L21">
        <f t="shared" si="3"/>
        <v>0</v>
      </c>
    </row>
    <row r="22" spans="1:12" x14ac:dyDescent="0.25">
      <c r="A22">
        <v>1723</v>
      </c>
      <c r="B22" t="s">
        <v>13</v>
      </c>
      <c r="C22" t="s">
        <v>57</v>
      </c>
      <c r="D22" t="s">
        <v>34</v>
      </c>
      <c r="H22">
        <v>9288</v>
      </c>
      <c r="J22">
        <f t="shared" si="0"/>
        <v>9288</v>
      </c>
      <c r="L22">
        <f t="shared" si="3"/>
        <v>4.1464285714285714</v>
      </c>
    </row>
    <row r="23" spans="1:12" x14ac:dyDescent="0.25">
      <c r="A23">
        <v>1723</v>
      </c>
      <c r="B23" t="s">
        <v>35</v>
      </c>
      <c r="C23" t="s">
        <v>57</v>
      </c>
      <c r="D23" t="s">
        <v>34</v>
      </c>
      <c r="J23">
        <f t="shared" si="0"/>
        <v>0</v>
      </c>
      <c r="L23">
        <f t="shared" si="3"/>
        <v>0</v>
      </c>
    </row>
    <row r="24" spans="1:12" x14ac:dyDescent="0.25">
      <c r="A24">
        <v>1723</v>
      </c>
      <c r="B24" t="s">
        <v>14</v>
      </c>
      <c r="C24" t="s">
        <v>57</v>
      </c>
      <c r="D24" t="s">
        <v>34</v>
      </c>
      <c r="J24">
        <f t="shared" si="0"/>
        <v>0</v>
      </c>
      <c r="L24">
        <f t="shared" si="3"/>
        <v>0</v>
      </c>
    </row>
    <row r="25" spans="1:12" x14ac:dyDescent="0.25">
      <c r="A25">
        <v>1723</v>
      </c>
      <c r="B25" t="s">
        <v>15</v>
      </c>
      <c r="C25" t="s">
        <v>57</v>
      </c>
      <c r="D25" t="s">
        <v>34</v>
      </c>
      <c r="H25">
        <v>2580</v>
      </c>
      <c r="I25" t="s">
        <v>83</v>
      </c>
      <c r="J25">
        <f t="shared" si="0"/>
        <v>2580</v>
      </c>
      <c r="L25">
        <f t="shared" si="3"/>
        <v>1.1517857142857142</v>
      </c>
    </row>
    <row r="26" spans="1:12" x14ac:dyDescent="0.25">
      <c r="A26">
        <v>1723</v>
      </c>
      <c r="B26" t="s">
        <v>24</v>
      </c>
      <c r="C26" t="s">
        <v>57</v>
      </c>
      <c r="D26" t="s">
        <v>34</v>
      </c>
      <c r="J26">
        <f t="shared" si="0"/>
        <v>0</v>
      </c>
      <c r="L26">
        <f t="shared" si="3"/>
        <v>0</v>
      </c>
    </row>
    <row r="27" spans="1:12" x14ac:dyDescent="0.25">
      <c r="A27">
        <v>1723</v>
      </c>
      <c r="B27" t="s">
        <v>28</v>
      </c>
      <c r="C27" t="s">
        <v>57</v>
      </c>
      <c r="D27" t="s">
        <v>34</v>
      </c>
      <c r="H27">
        <v>60586</v>
      </c>
      <c r="I27" t="s">
        <v>81</v>
      </c>
      <c r="J27">
        <f t="shared" si="0"/>
        <v>60586</v>
      </c>
      <c r="L27">
        <f t="shared" si="3"/>
        <v>27.047321428571429</v>
      </c>
    </row>
    <row r="28" spans="1:12" x14ac:dyDescent="0.25">
      <c r="A28">
        <v>1723</v>
      </c>
      <c r="B28" t="s">
        <v>16</v>
      </c>
      <c r="C28" t="s">
        <v>57</v>
      </c>
      <c r="D28" t="s">
        <v>34</v>
      </c>
      <c r="F28">
        <v>540</v>
      </c>
      <c r="G28">
        <v>3</v>
      </c>
      <c r="J28">
        <f t="shared" si="0"/>
        <v>60564</v>
      </c>
      <c r="L28">
        <f t="shared" si="3"/>
        <v>27.037500000000001</v>
      </c>
    </row>
    <row r="29" spans="1:12" x14ac:dyDescent="0.25">
      <c r="A29">
        <v>1723</v>
      </c>
      <c r="B29" t="s">
        <v>43</v>
      </c>
      <c r="C29" t="s">
        <v>57</v>
      </c>
      <c r="D29" t="s">
        <v>34</v>
      </c>
      <c r="J29">
        <f t="shared" si="0"/>
        <v>0</v>
      </c>
      <c r="L29">
        <f t="shared" si="3"/>
        <v>0</v>
      </c>
    </row>
    <row r="30" spans="1:12" x14ac:dyDescent="0.25">
      <c r="A30">
        <v>1723</v>
      </c>
      <c r="B30" t="s">
        <v>48</v>
      </c>
      <c r="C30" t="s">
        <v>57</v>
      </c>
      <c r="D30" t="s">
        <v>34</v>
      </c>
      <c r="J30">
        <f t="shared" si="0"/>
        <v>0</v>
      </c>
      <c r="L30">
        <f t="shared" si="3"/>
        <v>0</v>
      </c>
    </row>
    <row r="31" spans="1:12" x14ac:dyDescent="0.25">
      <c r="A31">
        <v>1723</v>
      </c>
      <c r="B31" t="s">
        <v>17</v>
      </c>
      <c r="C31" t="s">
        <v>57</v>
      </c>
      <c r="D31" t="s">
        <v>34</v>
      </c>
      <c r="J31">
        <f t="shared" si="0"/>
        <v>0</v>
      </c>
      <c r="L31">
        <f t="shared" si="3"/>
        <v>0</v>
      </c>
    </row>
    <row r="32" spans="1:12" x14ac:dyDescent="0.25">
      <c r="A32">
        <v>1723</v>
      </c>
      <c r="B32" t="s">
        <v>18</v>
      </c>
      <c r="C32" t="s">
        <v>57</v>
      </c>
      <c r="D32" t="s">
        <v>34</v>
      </c>
      <c r="F32">
        <v>4</v>
      </c>
      <c r="H32">
        <v>27</v>
      </c>
      <c r="J32">
        <f t="shared" si="0"/>
        <v>475</v>
      </c>
      <c r="L32">
        <f t="shared" si="3"/>
        <v>0.21205357142857142</v>
      </c>
    </row>
    <row r="33" spans="1:12" x14ac:dyDescent="0.25">
      <c r="A33">
        <v>1723</v>
      </c>
      <c r="B33" t="s">
        <v>19</v>
      </c>
      <c r="C33" t="s">
        <v>57</v>
      </c>
      <c r="D33" t="s">
        <v>34</v>
      </c>
      <c r="H33">
        <v>630220</v>
      </c>
      <c r="I33" t="s">
        <v>84</v>
      </c>
      <c r="J33">
        <f t="shared" si="0"/>
        <v>630220</v>
      </c>
      <c r="L33">
        <f t="shared" si="3"/>
        <v>281.34821428571428</v>
      </c>
    </row>
    <row r="34" spans="1:12" x14ac:dyDescent="0.25">
      <c r="A34">
        <v>1723</v>
      </c>
      <c r="B34" t="s">
        <v>20</v>
      </c>
      <c r="C34" t="s">
        <v>57</v>
      </c>
      <c r="D34" t="s">
        <v>34</v>
      </c>
      <c r="F34">
        <v>428</v>
      </c>
      <c r="G34">
        <v>1</v>
      </c>
      <c r="H34">
        <v>10</v>
      </c>
      <c r="J34">
        <f t="shared" ref="J34:J51" si="4">(E34*2240)+(F34*112)+(G34*28)+H34</f>
        <v>47974</v>
      </c>
      <c r="L34">
        <f t="shared" si="3"/>
        <v>21.416964285714286</v>
      </c>
    </row>
    <row r="35" spans="1:12" x14ac:dyDescent="0.25">
      <c r="A35">
        <v>1723</v>
      </c>
      <c r="B35" t="s">
        <v>46</v>
      </c>
      <c r="C35" t="s">
        <v>57</v>
      </c>
      <c r="D35" t="s">
        <v>34</v>
      </c>
      <c r="J35">
        <f t="shared" si="4"/>
        <v>0</v>
      </c>
      <c r="L35">
        <f t="shared" si="3"/>
        <v>0</v>
      </c>
    </row>
    <row r="36" spans="1:12" x14ac:dyDescent="0.25">
      <c r="A36">
        <v>1723</v>
      </c>
      <c r="B36" t="s">
        <v>55</v>
      </c>
      <c r="C36" t="s">
        <v>57</v>
      </c>
      <c r="D36" t="s">
        <v>34</v>
      </c>
      <c r="H36">
        <v>1980</v>
      </c>
      <c r="J36">
        <f t="shared" si="4"/>
        <v>1980</v>
      </c>
      <c r="L36">
        <f t="shared" si="3"/>
        <v>0.8839285714285714</v>
      </c>
    </row>
    <row r="37" spans="1:12" x14ac:dyDescent="0.25">
      <c r="A37">
        <v>1723</v>
      </c>
      <c r="B37" t="s">
        <v>21</v>
      </c>
      <c r="C37" t="s">
        <v>57</v>
      </c>
      <c r="D37" t="s">
        <v>34</v>
      </c>
      <c r="J37">
        <f t="shared" si="4"/>
        <v>0</v>
      </c>
      <c r="L37">
        <f t="shared" si="3"/>
        <v>0</v>
      </c>
    </row>
    <row r="38" spans="1:12" x14ac:dyDescent="0.25">
      <c r="A38">
        <v>1723</v>
      </c>
      <c r="B38" t="s">
        <v>22</v>
      </c>
      <c r="C38" t="s">
        <v>57</v>
      </c>
      <c r="D38" t="s">
        <v>34</v>
      </c>
      <c r="J38">
        <f t="shared" si="4"/>
        <v>0</v>
      </c>
      <c r="L38">
        <f t="shared" si="3"/>
        <v>0</v>
      </c>
    </row>
    <row r="39" spans="1:12" x14ac:dyDescent="0.25">
      <c r="A39">
        <v>1723</v>
      </c>
      <c r="B39" t="s">
        <v>23</v>
      </c>
      <c r="C39" t="s">
        <v>57</v>
      </c>
      <c r="D39" t="s">
        <v>34</v>
      </c>
      <c r="J39">
        <f t="shared" si="4"/>
        <v>0</v>
      </c>
      <c r="L39">
        <f t="shared" si="3"/>
        <v>0</v>
      </c>
    </row>
    <row r="40" spans="1:12" x14ac:dyDescent="0.25">
      <c r="A40">
        <v>1723</v>
      </c>
      <c r="B40" t="s">
        <v>62</v>
      </c>
      <c r="C40" t="s">
        <v>57</v>
      </c>
      <c r="D40" t="s">
        <v>34</v>
      </c>
      <c r="J40">
        <f t="shared" si="4"/>
        <v>0</v>
      </c>
      <c r="L40">
        <f t="shared" si="3"/>
        <v>0</v>
      </c>
    </row>
    <row r="41" spans="1:12" x14ac:dyDescent="0.25">
      <c r="A41">
        <v>1723</v>
      </c>
      <c r="B41" t="s">
        <v>63</v>
      </c>
      <c r="C41" t="s">
        <v>57</v>
      </c>
      <c r="D41" t="s">
        <v>34</v>
      </c>
      <c r="E41">
        <v>9</v>
      </c>
      <c r="F41">
        <v>15</v>
      </c>
      <c r="G41">
        <v>1</v>
      </c>
      <c r="H41">
        <v>13</v>
      </c>
      <c r="J41">
        <f t="shared" si="4"/>
        <v>21881</v>
      </c>
      <c r="L41">
        <f t="shared" si="3"/>
        <v>9.7683035714285715</v>
      </c>
    </row>
    <row r="42" spans="1:12" x14ac:dyDescent="0.25">
      <c r="A42">
        <v>1723</v>
      </c>
      <c r="B42" t="s">
        <v>64</v>
      </c>
      <c r="C42" t="s">
        <v>57</v>
      </c>
      <c r="D42" t="s">
        <v>34</v>
      </c>
      <c r="E42">
        <v>15</v>
      </c>
      <c r="F42">
        <v>18</v>
      </c>
      <c r="G42">
        <v>2</v>
      </c>
      <c r="H42">
        <v>10</v>
      </c>
      <c r="J42">
        <f t="shared" si="4"/>
        <v>35682</v>
      </c>
      <c r="L42">
        <f t="shared" si="3"/>
        <v>15.929464285714285</v>
      </c>
    </row>
    <row r="43" spans="1:12" x14ac:dyDescent="0.25">
      <c r="A43">
        <v>1723</v>
      </c>
      <c r="B43" t="s">
        <v>65</v>
      </c>
      <c r="C43" t="s">
        <v>57</v>
      </c>
      <c r="D43" t="s">
        <v>34</v>
      </c>
      <c r="E43">
        <v>43</v>
      </c>
      <c r="J43">
        <f t="shared" si="4"/>
        <v>96320</v>
      </c>
      <c r="L43">
        <f t="shared" si="3"/>
        <v>43</v>
      </c>
    </row>
    <row r="44" spans="1:12" x14ac:dyDescent="0.25">
      <c r="A44">
        <v>1723</v>
      </c>
      <c r="B44" t="s">
        <v>66</v>
      </c>
      <c r="C44" t="s">
        <v>57</v>
      </c>
      <c r="D44" t="s">
        <v>34</v>
      </c>
      <c r="J44">
        <f t="shared" si="4"/>
        <v>0</v>
      </c>
      <c r="L44">
        <f t="shared" si="3"/>
        <v>0</v>
      </c>
    </row>
    <row r="45" spans="1:12" x14ac:dyDescent="0.25">
      <c r="A45">
        <v>1723</v>
      </c>
      <c r="B45" t="s">
        <v>38</v>
      </c>
      <c r="C45" t="s">
        <v>57</v>
      </c>
      <c r="D45" t="s">
        <v>36</v>
      </c>
      <c r="H45">
        <v>2268</v>
      </c>
      <c r="J45">
        <f t="shared" si="4"/>
        <v>2268</v>
      </c>
      <c r="L45">
        <f t="shared" si="3"/>
        <v>1.0125</v>
      </c>
    </row>
    <row r="46" spans="1:12" x14ac:dyDescent="0.25">
      <c r="A46">
        <v>1723</v>
      </c>
      <c r="B46" t="s">
        <v>5</v>
      </c>
      <c r="C46" t="s">
        <v>57</v>
      </c>
      <c r="D46" t="s">
        <v>36</v>
      </c>
      <c r="F46">
        <v>1</v>
      </c>
      <c r="H46">
        <v>24</v>
      </c>
      <c r="J46">
        <f t="shared" si="4"/>
        <v>136</v>
      </c>
      <c r="L46">
        <f t="shared" si="3"/>
        <v>6.0714285714285714E-2</v>
      </c>
    </row>
    <row r="47" spans="1:12" x14ac:dyDescent="0.25">
      <c r="A47">
        <v>1723</v>
      </c>
      <c r="B47" t="s">
        <v>6</v>
      </c>
      <c r="C47" t="s">
        <v>57</v>
      </c>
      <c r="D47" t="s">
        <v>36</v>
      </c>
      <c r="F47">
        <v>25470</v>
      </c>
      <c r="G47">
        <v>3</v>
      </c>
      <c r="J47">
        <f t="shared" si="4"/>
        <v>2852724</v>
      </c>
      <c r="L47">
        <f t="shared" si="3"/>
        <v>1273.5374999999999</v>
      </c>
    </row>
    <row r="48" spans="1:12" x14ac:dyDescent="0.25">
      <c r="A48">
        <v>1723</v>
      </c>
      <c r="B48" t="s">
        <v>8</v>
      </c>
      <c r="C48" t="s">
        <v>57</v>
      </c>
      <c r="D48" t="s">
        <v>36</v>
      </c>
      <c r="J48">
        <f t="shared" si="4"/>
        <v>0</v>
      </c>
      <c r="L48">
        <f t="shared" si="3"/>
        <v>0</v>
      </c>
    </row>
    <row r="49" spans="1:12" x14ac:dyDescent="0.25">
      <c r="A49">
        <v>1723</v>
      </c>
      <c r="B49" t="s">
        <v>9</v>
      </c>
      <c r="C49" t="s">
        <v>57</v>
      </c>
      <c r="D49" t="s">
        <v>36</v>
      </c>
      <c r="J49">
        <f t="shared" si="4"/>
        <v>0</v>
      </c>
      <c r="L49">
        <f t="shared" si="3"/>
        <v>0</v>
      </c>
    </row>
    <row r="50" spans="1:12" x14ac:dyDescent="0.25">
      <c r="A50">
        <v>1723</v>
      </c>
      <c r="B50" t="s">
        <v>10</v>
      </c>
      <c r="C50" t="s">
        <v>57</v>
      </c>
      <c r="D50" t="s">
        <v>36</v>
      </c>
      <c r="F50">
        <v>658</v>
      </c>
      <c r="G50">
        <v>1</v>
      </c>
      <c r="H50">
        <v>16</v>
      </c>
      <c r="J50">
        <f t="shared" si="4"/>
        <v>73740</v>
      </c>
      <c r="L50">
        <f t="shared" si="3"/>
        <v>32.919642857142854</v>
      </c>
    </row>
    <row r="51" spans="1:12" x14ac:dyDescent="0.25">
      <c r="A51">
        <v>1723</v>
      </c>
      <c r="B51" t="s">
        <v>11</v>
      </c>
      <c r="C51" t="s">
        <v>57</v>
      </c>
      <c r="D51" t="s">
        <v>36</v>
      </c>
      <c r="F51">
        <v>1196</v>
      </c>
      <c r="G51">
        <v>3</v>
      </c>
      <c r="H51">
        <v>3</v>
      </c>
      <c r="J51">
        <f t="shared" si="4"/>
        <v>134039</v>
      </c>
      <c r="L51">
        <f t="shared" si="3"/>
        <v>59.838839285714286</v>
      </c>
    </row>
    <row r="52" spans="1:12" x14ac:dyDescent="0.25">
      <c r="A52">
        <v>1723</v>
      </c>
      <c r="B52" t="s">
        <v>12</v>
      </c>
      <c r="C52" t="s">
        <v>57</v>
      </c>
      <c r="D52" t="s">
        <v>36</v>
      </c>
      <c r="F52">
        <v>76</v>
      </c>
      <c r="H52">
        <v>20</v>
      </c>
      <c r="J52">
        <f t="shared" ref="J52:J53" si="5">(E52*2240)+(F52*112)+(G52*28)+H52</f>
        <v>8532</v>
      </c>
      <c r="L52">
        <f t="shared" ref="L52:L53" si="6">J52/2240</f>
        <v>3.8089285714285714</v>
      </c>
    </row>
    <row r="53" spans="1:12" x14ac:dyDescent="0.25">
      <c r="A53">
        <v>1723</v>
      </c>
      <c r="B53" t="s">
        <v>13</v>
      </c>
      <c r="C53" t="s">
        <v>57</v>
      </c>
      <c r="D53" t="s">
        <v>36</v>
      </c>
      <c r="H53">
        <f>555+90</f>
        <v>645</v>
      </c>
      <c r="J53">
        <f t="shared" si="5"/>
        <v>645</v>
      </c>
      <c r="L53">
        <f t="shared" si="6"/>
        <v>0.28794642857142855</v>
      </c>
    </row>
    <row r="54" spans="1:12" x14ac:dyDescent="0.25">
      <c r="A54">
        <v>1723</v>
      </c>
      <c r="B54" t="s">
        <v>14</v>
      </c>
      <c r="C54" t="s">
        <v>57</v>
      </c>
      <c r="D54" t="s">
        <v>36</v>
      </c>
      <c r="J54">
        <f t="shared" ref="J54:J64" si="7">(E54*2240)+(F54*112)+(G54*28)+H54</f>
        <v>0</v>
      </c>
      <c r="L54">
        <f t="shared" ref="L54:L64" si="8">J54/2240</f>
        <v>0</v>
      </c>
    </row>
    <row r="55" spans="1:12" x14ac:dyDescent="0.25">
      <c r="A55">
        <v>1723</v>
      </c>
      <c r="B55" t="s">
        <v>15</v>
      </c>
      <c r="C55" t="s">
        <v>57</v>
      </c>
      <c r="D55" t="s">
        <v>36</v>
      </c>
      <c r="H55">
        <v>505</v>
      </c>
      <c r="I55" t="s">
        <v>103</v>
      </c>
      <c r="J55">
        <f t="shared" si="7"/>
        <v>505</v>
      </c>
      <c r="L55">
        <f t="shared" si="8"/>
        <v>0.22544642857142858</v>
      </c>
    </row>
    <row r="56" spans="1:12" x14ac:dyDescent="0.25">
      <c r="A56">
        <v>1723</v>
      </c>
      <c r="B56" t="s">
        <v>28</v>
      </c>
      <c r="C56" t="s">
        <v>57</v>
      </c>
      <c r="D56" t="s">
        <v>36</v>
      </c>
      <c r="H56">
        <v>2826</v>
      </c>
      <c r="I56" t="s">
        <v>105</v>
      </c>
      <c r="J56">
        <f t="shared" si="7"/>
        <v>2826</v>
      </c>
      <c r="L56">
        <f t="shared" si="8"/>
        <v>1.2616071428571429</v>
      </c>
    </row>
    <row r="57" spans="1:12" x14ac:dyDescent="0.25">
      <c r="A57">
        <v>1723</v>
      </c>
      <c r="B57" t="s">
        <v>16</v>
      </c>
      <c r="C57" t="s">
        <v>57</v>
      </c>
      <c r="D57" t="s">
        <v>36</v>
      </c>
      <c r="J57">
        <f t="shared" si="7"/>
        <v>0</v>
      </c>
      <c r="L57">
        <f t="shared" si="8"/>
        <v>0</v>
      </c>
    </row>
    <row r="58" spans="1:12" x14ac:dyDescent="0.25">
      <c r="A58">
        <v>1723</v>
      </c>
      <c r="B58" t="s">
        <v>18</v>
      </c>
      <c r="C58" t="s">
        <v>57</v>
      </c>
      <c r="D58" t="s">
        <v>36</v>
      </c>
      <c r="F58">
        <v>86</v>
      </c>
      <c r="G58">
        <v>1</v>
      </c>
      <c r="H58">
        <v>12</v>
      </c>
      <c r="J58">
        <f t="shared" si="7"/>
        <v>9672</v>
      </c>
      <c r="L58">
        <f t="shared" si="8"/>
        <v>4.3178571428571431</v>
      </c>
    </row>
    <row r="59" spans="1:12" x14ac:dyDescent="0.25">
      <c r="A59">
        <v>1723</v>
      </c>
      <c r="B59" t="s">
        <v>19</v>
      </c>
      <c r="C59" t="s">
        <v>57</v>
      </c>
      <c r="D59" t="s">
        <v>36</v>
      </c>
      <c r="H59">
        <v>29137</v>
      </c>
      <c r="I59" t="s">
        <v>106</v>
      </c>
      <c r="J59">
        <f t="shared" si="7"/>
        <v>29137</v>
      </c>
      <c r="L59">
        <f t="shared" si="8"/>
        <v>13.007589285714285</v>
      </c>
    </row>
    <row r="60" spans="1:12" x14ac:dyDescent="0.25">
      <c r="A60">
        <v>1723</v>
      </c>
      <c r="B60" t="s">
        <v>20</v>
      </c>
      <c r="C60" t="s">
        <v>57</v>
      </c>
      <c r="D60" t="s">
        <v>36</v>
      </c>
      <c r="J60">
        <f t="shared" si="7"/>
        <v>0</v>
      </c>
      <c r="L60">
        <f t="shared" si="8"/>
        <v>0</v>
      </c>
    </row>
    <row r="61" spans="1:12" x14ac:dyDescent="0.25">
      <c r="A61">
        <v>1723</v>
      </c>
      <c r="B61" t="s">
        <v>55</v>
      </c>
      <c r="C61" t="s">
        <v>57</v>
      </c>
      <c r="D61" t="s">
        <v>36</v>
      </c>
      <c r="H61">
        <v>10</v>
      </c>
      <c r="J61">
        <f t="shared" si="7"/>
        <v>10</v>
      </c>
      <c r="L61">
        <f t="shared" si="8"/>
        <v>4.464285714285714E-3</v>
      </c>
    </row>
    <row r="62" spans="1:12" x14ac:dyDescent="0.25">
      <c r="A62">
        <v>1723</v>
      </c>
      <c r="B62" t="s">
        <v>22</v>
      </c>
      <c r="C62" t="s">
        <v>57</v>
      </c>
      <c r="D62" t="s">
        <v>36</v>
      </c>
      <c r="J62">
        <f t="shared" si="7"/>
        <v>0</v>
      </c>
      <c r="L62">
        <f t="shared" si="8"/>
        <v>0</v>
      </c>
    </row>
    <row r="63" spans="1:12" x14ac:dyDescent="0.25">
      <c r="A63">
        <v>1723</v>
      </c>
      <c r="B63" t="s">
        <v>23</v>
      </c>
      <c r="C63" t="s">
        <v>57</v>
      </c>
      <c r="D63" t="s">
        <v>36</v>
      </c>
      <c r="J63">
        <f t="shared" si="7"/>
        <v>0</v>
      </c>
      <c r="L63">
        <f t="shared" si="8"/>
        <v>0</v>
      </c>
    </row>
    <row r="64" spans="1:12" x14ac:dyDescent="0.25">
      <c r="A64">
        <v>1723</v>
      </c>
      <c r="B64" t="s">
        <v>63</v>
      </c>
      <c r="C64" t="s">
        <v>57</v>
      </c>
      <c r="D64" t="s">
        <v>36</v>
      </c>
      <c r="E64">
        <v>13</v>
      </c>
      <c r="F64">
        <v>1</v>
      </c>
      <c r="G64">
        <v>2</v>
      </c>
      <c r="H64">
        <v>14</v>
      </c>
      <c r="J64">
        <f t="shared" si="7"/>
        <v>29302</v>
      </c>
      <c r="L64">
        <f t="shared" si="8"/>
        <v>13.081250000000001</v>
      </c>
    </row>
    <row r="65" spans="1:12" x14ac:dyDescent="0.25">
      <c r="A65">
        <v>1723</v>
      </c>
      <c r="B65" t="s">
        <v>64</v>
      </c>
      <c r="C65" t="s">
        <v>57</v>
      </c>
      <c r="D65" t="s">
        <v>36</v>
      </c>
      <c r="J65">
        <f t="shared" ref="J65:J66" si="9">(E65*2240)+(F65*112)+(G65*28)+H65</f>
        <v>0</v>
      </c>
      <c r="L65">
        <f t="shared" ref="L65:L66" si="10">J65/2240</f>
        <v>0</v>
      </c>
    </row>
    <row r="66" spans="1:12" x14ac:dyDescent="0.25">
      <c r="A66">
        <v>1723</v>
      </c>
      <c r="B66" t="s">
        <v>65</v>
      </c>
      <c r="C66" t="s">
        <v>57</v>
      </c>
      <c r="D66" t="s">
        <v>36</v>
      </c>
      <c r="F66">
        <v>3</v>
      </c>
      <c r="J66">
        <f t="shared" si="9"/>
        <v>336</v>
      </c>
      <c r="L66">
        <f t="shared" si="10"/>
        <v>0.15</v>
      </c>
    </row>
  </sheetData>
  <autoFilter ref="A1:N54" xr:uid="{AAD1F908-12B8-4B3A-A65D-184CD229ACD4}">
    <sortState xmlns:xlrd2="http://schemas.microsoft.com/office/spreadsheetml/2017/richdata2" ref="A2:N54">
      <sortCondition ref="B1:B5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2"/>
  <sheetViews>
    <sheetView workbookViewId="0">
      <selection activeCell="H5" sqref="H5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29</v>
      </c>
      <c r="F1" s="1" t="s">
        <v>30</v>
      </c>
      <c r="G1" s="1" t="s">
        <v>31</v>
      </c>
      <c r="H1" s="1" t="s">
        <v>32</v>
      </c>
      <c r="I1" s="1"/>
      <c r="J1" s="1" t="s">
        <v>33</v>
      </c>
      <c r="K1" s="1"/>
      <c r="L1" s="1" t="s">
        <v>53</v>
      </c>
    </row>
    <row r="2" spans="1:12" x14ac:dyDescent="0.25">
      <c r="A2">
        <v>1723</v>
      </c>
      <c r="B2" t="s">
        <v>67</v>
      </c>
      <c r="C2" t="s">
        <v>68</v>
      </c>
      <c r="D2" t="s">
        <v>34</v>
      </c>
      <c r="F2">
        <v>2698</v>
      </c>
      <c r="J2">
        <f t="shared" ref="J2:J22" si="0">(E2*2240)+(F2*112)+(G2*28)+H2</f>
        <v>302176</v>
      </c>
      <c r="L2">
        <f t="shared" ref="L2:L22" si="1">J2/2240</f>
        <v>134.9</v>
      </c>
    </row>
    <row r="3" spans="1:12" x14ac:dyDescent="0.25">
      <c r="A3">
        <v>1723</v>
      </c>
      <c r="B3" t="s">
        <v>9</v>
      </c>
      <c r="C3" t="s">
        <v>68</v>
      </c>
      <c r="D3" t="s">
        <v>34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A4">
        <v>1723</v>
      </c>
      <c r="B4" t="s">
        <v>10</v>
      </c>
      <c r="C4" t="s">
        <v>68</v>
      </c>
      <c r="D4" t="s">
        <v>34</v>
      </c>
      <c r="E4" s="1"/>
      <c r="F4" s="1"/>
      <c r="G4" s="1"/>
      <c r="H4">
        <f>2*200</f>
        <v>400</v>
      </c>
      <c r="I4" t="s">
        <v>86</v>
      </c>
      <c r="J4">
        <f t="shared" si="0"/>
        <v>400</v>
      </c>
      <c r="K4" s="1"/>
      <c r="L4">
        <f t="shared" si="1"/>
        <v>0.17857142857142858</v>
      </c>
    </row>
    <row r="5" spans="1:12" x14ac:dyDescent="0.25">
      <c r="A5">
        <v>1723</v>
      </c>
      <c r="B5" t="s">
        <v>13</v>
      </c>
      <c r="C5" t="s">
        <v>68</v>
      </c>
      <c r="D5" t="s">
        <v>34</v>
      </c>
      <c r="E5" s="1"/>
      <c r="F5" s="1"/>
      <c r="G5" s="1"/>
      <c r="H5">
        <v>176</v>
      </c>
      <c r="I5" s="1"/>
      <c r="J5">
        <f t="shared" si="0"/>
        <v>176</v>
      </c>
      <c r="K5" s="1"/>
      <c r="L5">
        <f t="shared" si="1"/>
        <v>7.857142857142857E-2</v>
      </c>
    </row>
    <row r="6" spans="1:12" x14ac:dyDescent="0.25">
      <c r="A6">
        <v>1723</v>
      </c>
      <c r="B6" t="s">
        <v>28</v>
      </c>
      <c r="C6" t="s">
        <v>68</v>
      </c>
      <c r="D6" t="s">
        <v>34</v>
      </c>
      <c r="E6" s="1"/>
      <c r="F6" s="1"/>
      <c r="G6" s="1"/>
      <c r="H6">
        <v>6762</v>
      </c>
      <c r="I6" t="s">
        <v>85</v>
      </c>
      <c r="J6">
        <f t="shared" si="0"/>
        <v>6762</v>
      </c>
      <c r="K6" s="1"/>
      <c r="L6">
        <f t="shared" si="1"/>
        <v>3.0187499999999998</v>
      </c>
    </row>
    <row r="7" spans="1:12" x14ac:dyDescent="0.25">
      <c r="A7">
        <v>1723</v>
      </c>
      <c r="B7" t="s">
        <v>16</v>
      </c>
      <c r="C7" t="s">
        <v>68</v>
      </c>
      <c r="D7" t="s">
        <v>34</v>
      </c>
      <c r="E7" s="1"/>
      <c r="F7">
        <v>158</v>
      </c>
      <c r="G7" s="1"/>
      <c r="I7" s="1"/>
      <c r="J7">
        <f t="shared" si="0"/>
        <v>17696</v>
      </c>
      <c r="K7" s="1"/>
      <c r="L7">
        <f t="shared" si="1"/>
        <v>7.9</v>
      </c>
    </row>
    <row r="8" spans="1:12" x14ac:dyDescent="0.25">
      <c r="A8">
        <v>1723</v>
      </c>
      <c r="B8" t="s">
        <v>17</v>
      </c>
      <c r="C8" t="s">
        <v>68</v>
      </c>
      <c r="D8" t="s">
        <v>34</v>
      </c>
      <c r="E8" s="1"/>
      <c r="G8" s="1"/>
      <c r="H8">
        <v>153</v>
      </c>
      <c r="I8" s="1"/>
      <c r="J8">
        <f t="shared" si="0"/>
        <v>153</v>
      </c>
      <c r="K8" s="1"/>
      <c r="L8">
        <f t="shared" si="1"/>
        <v>6.8303571428571422E-2</v>
      </c>
    </row>
    <row r="9" spans="1:12" x14ac:dyDescent="0.25">
      <c r="A9">
        <v>1723</v>
      </c>
      <c r="B9" t="s">
        <v>18</v>
      </c>
      <c r="C9" t="s">
        <v>68</v>
      </c>
      <c r="D9" t="s">
        <v>34</v>
      </c>
      <c r="E9" s="1"/>
      <c r="F9">
        <v>39</v>
      </c>
      <c r="G9">
        <v>2</v>
      </c>
      <c r="H9">
        <v>21</v>
      </c>
      <c r="I9" s="1"/>
      <c r="J9">
        <f t="shared" si="0"/>
        <v>4445</v>
      </c>
      <c r="K9" s="1"/>
      <c r="L9">
        <f t="shared" si="1"/>
        <v>1.984375</v>
      </c>
    </row>
    <row r="10" spans="1:12" x14ac:dyDescent="0.25">
      <c r="A10">
        <v>1723</v>
      </c>
      <c r="B10" t="s">
        <v>19</v>
      </c>
      <c r="C10" t="s">
        <v>68</v>
      </c>
      <c r="D10" t="s">
        <v>34</v>
      </c>
      <c r="E10" s="1"/>
      <c r="H10">
        <v>19196</v>
      </c>
      <c r="I10" t="s">
        <v>87</v>
      </c>
      <c r="J10">
        <f t="shared" si="0"/>
        <v>19196</v>
      </c>
      <c r="K10" s="1"/>
      <c r="L10">
        <f t="shared" si="1"/>
        <v>8.569642857142858</v>
      </c>
    </row>
    <row r="11" spans="1:12" x14ac:dyDescent="0.25">
      <c r="A11">
        <v>1723</v>
      </c>
      <c r="B11" t="s">
        <v>20</v>
      </c>
      <c r="C11" t="s">
        <v>68</v>
      </c>
      <c r="D11" t="s">
        <v>34</v>
      </c>
      <c r="E11" s="1"/>
      <c r="F11">
        <v>3</v>
      </c>
      <c r="G11">
        <v>1</v>
      </c>
      <c r="I11" s="1"/>
      <c r="J11">
        <f t="shared" si="0"/>
        <v>364</v>
      </c>
      <c r="K11" s="1"/>
      <c r="L11">
        <f t="shared" si="1"/>
        <v>0.16250000000000001</v>
      </c>
    </row>
    <row r="12" spans="1:12" x14ac:dyDescent="0.25">
      <c r="A12">
        <v>1723</v>
      </c>
      <c r="B12" t="s">
        <v>62</v>
      </c>
      <c r="C12" t="s">
        <v>68</v>
      </c>
      <c r="D12" t="s">
        <v>34</v>
      </c>
      <c r="E12">
        <v>73</v>
      </c>
      <c r="F12">
        <v>10</v>
      </c>
      <c r="G12">
        <v>2</v>
      </c>
      <c r="J12">
        <f t="shared" si="0"/>
        <v>164696</v>
      </c>
      <c r="L12">
        <f t="shared" si="1"/>
        <v>73.525000000000006</v>
      </c>
    </row>
    <row r="13" spans="1:12" x14ac:dyDescent="0.25">
      <c r="A13">
        <v>1723</v>
      </c>
      <c r="B13" t="s">
        <v>64</v>
      </c>
      <c r="C13" t="s">
        <v>68</v>
      </c>
      <c r="D13" t="s">
        <v>34</v>
      </c>
      <c r="E13">
        <v>49</v>
      </c>
      <c r="F13">
        <v>2</v>
      </c>
      <c r="G13">
        <v>2</v>
      </c>
      <c r="J13">
        <f t="shared" si="0"/>
        <v>110040</v>
      </c>
      <c r="L13">
        <f t="shared" si="1"/>
        <v>49.125</v>
      </c>
    </row>
    <row r="14" spans="1:12" x14ac:dyDescent="0.25">
      <c r="A14">
        <v>1723</v>
      </c>
      <c r="B14" t="s">
        <v>10</v>
      </c>
      <c r="C14" t="s">
        <v>68</v>
      </c>
      <c r="D14" t="s">
        <v>36</v>
      </c>
      <c r="J14">
        <f t="shared" si="0"/>
        <v>0</v>
      </c>
      <c r="L14">
        <f t="shared" si="1"/>
        <v>0</v>
      </c>
    </row>
    <row r="15" spans="1:12" x14ac:dyDescent="0.25">
      <c r="A15">
        <v>1723</v>
      </c>
      <c r="B15" t="s">
        <v>9</v>
      </c>
      <c r="C15" t="s">
        <v>68</v>
      </c>
      <c r="D15" t="s">
        <v>36</v>
      </c>
      <c r="J15">
        <f t="shared" si="0"/>
        <v>0</v>
      </c>
      <c r="L15">
        <f t="shared" si="1"/>
        <v>0</v>
      </c>
    </row>
    <row r="16" spans="1:12" x14ac:dyDescent="0.25">
      <c r="A16">
        <v>1723</v>
      </c>
      <c r="B16" t="s">
        <v>13</v>
      </c>
      <c r="C16" t="s">
        <v>68</v>
      </c>
      <c r="D16" t="s">
        <v>36</v>
      </c>
      <c r="J16">
        <f t="shared" si="0"/>
        <v>0</v>
      </c>
      <c r="K16" s="1"/>
      <c r="L16">
        <f t="shared" si="1"/>
        <v>0</v>
      </c>
    </row>
    <row r="17" spans="1:12" x14ac:dyDescent="0.25">
      <c r="A17">
        <v>1723</v>
      </c>
      <c r="B17" t="s">
        <v>16</v>
      </c>
      <c r="C17" t="s">
        <v>68</v>
      </c>
      <c r="D17" t="s">
        <v>36</v>
      </c>
      <c r="F17">
        <v>17</v>
      </c>
      <c r="G17">
        <v>3</v>
      </c>
      <c r="H17">
        <v>3</v>
      </c>
      <c r="J17">
        <f t="shared" si="0"/>
        <v>1991</v>
      </c>
      <c r="K17" s="1"/>
      <c r="L17">
        <f t="shared" si="1"/>
        <v>0.88883928571428572</v>
      </c>
    </row>
    <row r="18" spans="1:12" x14ac:dyDescent="0.25">
      <c r="A18">
        <v>1723</v>
      </c>
      <c r="B18" t="s">
        <v>19</v>
      </c>
      <c r="C18" t="s">
        <v>68</v>
      </c>
      <c r="D18" t="s">
        <v>36</v>
      </c>
      <c r="H18">
        <v>2755</v>
      </c>
      <c r="I18" t="s">
        <v>107</v>
      </c>
      <c r="J18">
        <f t="shared" si="0"/>
        <v>2755</v>
      </c>
      <c r="K18" s="1"/>
      <c r="L18">
        <f t="shared" si="1"/>
        <v>1.2299107142857142</v>
      </c>
    </row>
    <row r="19" spans="1:12" x14ac:dyDescent="0.25">
      <c r="A19">
        <v>1723</v>
      </c>
      <c r="B19" t="s">
        <v>20</v>
      </c>
      <c r="C19" t="s">
        <v>68</v>
      </c>
      <c r="D19" t="s">
        <v>36</v>
      </c>
      <c r="J19">
        <f t="shared" si="0"/>
        <v>0</v>
      </c>
      <c r="L19">
        <f t="shared" si="1"/>
        <v>0</v>
      </c>
    </row>
    <row r="20" spans="1:12" x14ac:dyDescent="0.25">
      <c r="A20">
        <v>1723</v>
      </c>
      <c r="B20" t="s">
        <v>55</v>
      </c>
      <c r="C20" t="s">
        <v>68</v>
      </c>
      <c r="D20" t="s">
        <v>36</v>
      </c>
      <c r="J20">
        <f t="shared" si="0"/>
        <v>0</v>
      </c>
      <c r="L20">
        <f t="shared" si="1"/>
        <v>0</v>
      </c>
    </row>
    <row r="21" spans="1:12" x14ac:dyDescent="0.25">
      <c r="A21">
        <v>1723</v>
      </c>
      <c r="B21" t="s">
        <v>62</v>
      </c>
      <c r="C21" t="s">
        <v>68</v>
      </c>
      <c r="D21" t="s">
        <v>36</v>
      </c>
      <c r="J21">
        <f t="shared" si="0"/>
        <v>0</v>
      </c>
      <c r="L21">
        <f t="shared" si="1"/>
        <v>0</v>
      </c>
    </row>
    <row r="22" spans="1:12" x14ac:dyDescent="0.25">
      <c r="A22">
        <v>1723</v>
      </c>
      <c r="B22" t="s">
        <v>64</v>
      </c>
      <c r="C22" t="s">
        <v>68</v>
      </c>
      <c r="D22" t="s">
        <v>36</v>
      </c>
      <c r="J22">
        <f t="shared" si="0"/>
        <v>0</v>
      </c>
      <c r="L22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82"/>
  <sheetViews>
    <sheetView topLeftCell="A19" zoomScaleNormal="100" workbookViewId="0">
      <selection activeCell="I19" sqref="I1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29</v>
      </c>
      <c r="F1" s="1" t="s">
        <v>30</v>
      </c>
      <c r="G1" s="1" t="s">
        <v>31</v>
      </c>
      <c r="H1" s="1" t="s">
        <v>32</v>
      </c>
      <c r="I1" s="1"/>
      <c r="J1" s="1" t="s">
        <v>33</v>
      </c>
      <c r="K1" s="1"/>
      <c r="L1" s="1" t="s">
        <v>53</v>
      </c>
    </row>
    <row r="2" spans="1:12" x14ac:dyDescent="0.25">
      <c r="A2">
        <v>1723</v>
      </c>
      <c r="B2" t="s">
        <v>56</v>
      </c>
      <c r="C2" t="s">
        <v>69</v>
      </c>
      <c r="D2" t="s">
        <v>34</v>
      </c>
      <c r="J2">
        <f>(E2*2240)+(F2*112)+(G2*28)+H2</f>
        <v>0</v>
      </c>
      <c r="L2">
        <f>J2/2240</f>
        <v>0</v>
      </c>
    </row>
    <row r="3" spans="1:12" x14ac:dyDescent="0.25">
      <c r="A3">
        <v>1723</v>
      </c>
      <c r="B3" t="s">
        <v>58</v>
      </c>
      <c r="C3" t="s">
        <v>69</v>
      </c>
      <c r="D3" t="s">
        <v>34</v>
      </c>
      <c r="J3">
        <f>(E3*2240)+(F3*112)+(G3*28)+H3</f>
        <v>0</v>
      </c>
      <c r="L3">
        <f>J3/2240</f>
        <v>0</v>
      </c>
    </row>
    <row r="4" spans="1:12" x14ac:dyDescent="0.25">
      <c r="A4">
        <v>1723</v>
      </c>
      <c r="B4" t="s">
        <v>38</v>
      </c>
      <c r="C4" t="s">
        <v>69</v>
      </c>
      <c r="D4" t="s">
        <v>34</v>
      </c>
      <c r="J4">
        <f>(E4*2240)+(F4*112)+(G4*28)+H4</f>
        <v>0</v>
      </c>
      <c r="L4">
        <f>J4/2240</f>
        <v>0</v>
      </c>
    </row>
    <row r="5" spans="1:12" x14ac:dyDescent="0.25">
      <c r="A5">
        <v>1723</v>
      </c>
      <c r="B5" t="s">
        <v>4</v>
      </c>
      <c r="C5" t="s">
        <v>69</v>
      </c>
      <c r="D5" t="s">
        <v>34</v>
      </c>
      <c r="J5">
        <f>(E5*2240)+(F5*112)+(G5*28)+H5</f>
        <v>0</v>
      </c>
      <c r="L5">
        <f>J5/2240</f>
        <v>0</v>
      </c>
    </row>
    <row r="6" spans="1:12" x14ac:dyDescent="0.25">
      <c r="A6">
        <v>1723</v>
      </c>
      <c r="B6" t="s">
        <v>59</v>
      </c>
      <c r="C6" t="s">
        <v>69</v>
      </c>
      <c r="D6" t="s">
        <v>34</v>
      </c>
      <c r="J6">
        <f>(E6*2240)+(F6*112)+(G6*28)+H6</f>
        <v>0</v>
      </c>
      <c r="L6">
        <f>J6/2240</f>
        <v>0</v>
      </c>
    </row>
    <row r="7" spans="1:12" x14ac:dyDescent="0.25">
      <c r="A7">
        <v>1723</v>
      </c>
      <c r="B7" t="s">
        <v>70</v>
      </c>
      <c r="C7" t="s">
        <v>69</v>
      </c>
      <c r="D7" t="s">
        <v>34</v>
      </c>
      <c r="J7">
        <f t="shared" ref="J7:J26" si="0">(E7*2240)+(F7*112)+(G7*28)+H7</f>
        <v>0</v>
      </c>
      <c r="L7">
        <f t="shared" ref="L7:L28" si="1">J7/2240</f>
        <v>0</v>
      </c>
    </row>
    <row r="8" spans="1:12" x14ac:dyDescent="0.25">
      <c r="A8">
        <v>1723</v>
      </c>
      <c r="B8" t="s">
        <v>44</v>
      </c>
      <c r="C8" t="s">
        <v>69</v>
      </c>
      <c r="D8" t="s">
        <v>34</v>
      </c>
      <c r="J8">
        <f t="shared" si="0"/>
        <v>0</v>
      </c>
      <c r="L8">
        <f t="shared" si="1"/>
        <v>0</v>
      </c>
    </row>
    <row r="9" spans="1:12" x14ac:dyDescent="0.25">
      <c r="A9">
        <v>1723</v>
      </c>
      <c r="B9" t="s">
        <v>5</v>
      </c>
      <c r="C9" t="s">
        <v>69</v>
      </c>
      <c r="D9" t="s">
        <v>34</v>
      </c>
      <c r="F9">
        <v>8</v>
      </c>
      <c r="G9">
        <v>1</v>
      </c>
      <c r="J9">
        <f t="shared" si="0"/>
        <v>924</v>
      </c>
      <c r="L9">
        <f t="shared" si="1"/>
        <v>0.41249999999999998</v>
      </c>
    </row>
    <row r="10" spans="1:12" x14ac:dyDescent="0.25">
      <c r="A10">
        <v>1723</v>
      </c>
      <c r="B10" t="s">
        <v>60</v>
      </c>
      <c r="C10" t="s">
        <v>69</v>
      </c>
      <c r="D10" t="s">
        <v>34</v>
      </c>
      <c r="J10">
        <f t="shared" si="0"/>
        <v>0</v>
      </c>
      <c r="L10">
        <f t="shared" si="1"/>
        <v>0</v>
      </c>
    </row>
    <row r="11" spans="1:12" x14ac:dyDescent="0.25">
      <c r="A11">
        <v>1723</v>
      </c>
      <c r="B11" t="s">
        <v>6</v>
      </c>
      <c r="C11" t="s">
        <v>69</v>
      </c>
      <c r="D11" t="s">
        <v>34</v>
      </c>
      <c r="F11">
        <v>68069</v>
      </c>
      <c r="H11">
        <v>24</v>
      </c>
      <c r="J11">
        <f t="shared" si="0"/>
        <v>7623752</v>
      </c>
      <c r="L11">
        <f t="shared" si="1"/>
        <v>3403.4607142857144</v>
      </c>
    </row>
    <row r="12" spans="1:12" x14ac:dyDescent="0.25">
      <c r="A12">
        <v>1723</v>
      </c>
      <c r="B12" t="s">
        <v>7</v>
      </c>
      <c r="C12" t="s">
        <v>69</v>
      </c>
      <c r="D12" t="s">
        <v>34</v>
      </c>
      <c r="H12">
        <v>4815</v>
      </c>
    </row>
    <row r="13" spans="1:12" x14ac:dyDescent="0.25">
      <c r="A13">
        <v>1723</v>
      </c>
      <c r="B13" t="s">
        <v>61</v>
      </c>
      <c r="C13" t="s">
        <v>69</v>
      </c>
      <c r="D13" t="s">
        <v>34</v>
      </c>
      <c r="J13">
        <f t="shared" si="0"/>
        <v>0</v>
      </c>
      <c r="L13">
        <f t="shared" si="1"/>
        <v>0</v>
      </c>
    </row>
    <row r="14" spans="1:12" x14ac:dyDescent="0.25">
      <c r="A14">
        <v>1723</v>
      </c>
      <c r="B14" t="s">
        <v>40</v>
      </c>
      <c r="C14" t="s">
        <v>69</v>
      </c>
      <c r="D14" t="s">
        <v>34</v>
      </c>
      <c r="J14">
        <f t="shared" si="0"/>
        <v>0</v>
      </c>
      <c r="L14">
        <f t="shared" si="1"/>
        <v>0</v>
      </c>
    </row>
    <row r="15" spans="1:12" x14ac:dyDescent="0.25">
      <c r="A15">
        <v>1723</v>
      </c>
      <c r="B15" t="s">
        <v>39</v>
      </c>
      <c r="C15" t="s">
        <v>69</v>
      </c>
      <c r="D15" t="s">
        <v>34</v>
      </c>
      <c r="H15">
        <v>3815</v>
      </c>
      <c r="J15">
        <f t="shared" si="0"/>
        <v>3815</v>
      </c>
      <c r="L15">
        <f t="shared" si="1"/>
        <v>1.703125</v>
      </c>
    </row>
    <row r="16" spans="1:12" x14ac:dyDescent="0.25">
      <c r="A16">
        <v>1723</v>
      </c>
      <c r="B16" t="s">
        <v>9</v>
      </c>
      <c r="C16" t="s">
        <v>69</v>
      </c>
      <c r="D16" t="s">
        <v>34</v>
      </c>
      <c r="F16">
        <v>2</v>
      </c>
      <c r="G16">
        <v>3</v>
      </c>
      <c r="H16">
        <v>2</v>
      </c>
      <c r="J16">
        <f t="shared" si="0"/>
        <v>310</v>
      </c>
      <c r="L16">
        <f t="shared" si="1"/>
        <v>0.13839285714285715</v>
      </c>
    </row>
    <row r="17" spans="1:12" x14ac:dyDescent="0.25">
      <c r="A17">
        <v>1723</v>
      </c>
      <c r="B17" t="s">
        <v>42</v>
      </c>
      <c r="C17" t="s">
        <v>69</v>
      </c>
      <c r="D17" t="s">
        <v>34</v>
      </c>
      <c r="J17">
        <f t="shared" si="0"/>
        <v>0</v>
      </c>
      <c r="L17">
        <f t="shared" si="1"/>
        <v>0</v>
      </c>
    </row>
    <row r="18" spans="1:12" x14ac:dyDescent="0.25">
      <c r="A18">
        <v>1723</v>
      </c>
      <c r="B18" t="s">
        <v>47</v>
      </c>
      <c r="C18" t="s">
        <v>69</v>
      </c>
      <c r="D18" t="s">
        <v>34</v>
      </c>
      <c r="J18">
        <f t="shared" si="0"/>
        <v>0</v>
      </c>
      <c r="L18">
        <f t="shared" si="1"/>
        <v>0</v>
      </c>
    </row>
    <row r="19" spans="1:12" x14ac:dyDescent="0.25">
      <c r="A19">
        <v>1723</v>
      </c>
      <c r="B19" t="s">
        <v>10</v>
      </c>
      <c r="C19" t="s">
        <v>69</v>
      </c>
      <c r="D19" t="s">
        <v>34</v>
      </c>
      <c r="H19">
        <f>701*200</f>
        <v>140200</v>
      </c>
      <c r="I19" t="s">
        <v>91</v>
      </c>
      <c r="J19">
        <f t="shared" si="0"/>
        <v>140200</v>
      </c>
      <c r="L19">
        <f t="shared" si="1"/>
        <v>62.589285714285715</v>
      </c>
    </row>
    <row r="20" spans="1:12" x14ac:dyDescent="0.25">
      <c r="A20">
        <v>1723</v>
      </c>
      <c r="B20" t="s">
        <v>11</v>
      </c>
      <c r="C20" t="s">
        <v>69</v>
      </c>
      <c r="D20" t="s">
        <v>34</v>
      </c>
      <c r="F20">
        <v>9527</v>
      </c>
      <c r="G20">
        <v>3</v>
      </c>
      <c r="J20">
        <f t="shared" si="0"/>
        <v>1067108</v>
      </c>
      <c r="L20">
        <f t="shared" si="1"/>
        <v>476.38749999999999</v>
      </c>
    </row>
    <row r="21" spans="1:12" x14ac:dyDescent="0.25">
      <c r="A21">
        <v>1723</v>
      </c>
      <c r="B21" t="s">
        <v>12</v>
      </c>
      <c r="C21" t="s">
        <v>69</v>
      </c>
      <c r="D21" t="s">
        <v>34</v>
      </c>
      <c r="F21">
        <v>426</v>
      </c>
      <c r="J21">
        <f t="shared" si="0"/>
        <v>47712</v>
      </c>
      <c r="L21">
        <f t="shared" si="1"/>
        <v>21.3</v>
      </c>
    </row>
    <row r="22" spans="1:12" x14ac:dyDescent="0.25">
      <c r="A22">
        <v>1723</v>
      </c>
      <c r="B22" t="s">
        <v>41</v>
      </c>
      <c r="C22" t="s">
        <v>69</v>
      </c>
      <c r="D22" t="s">
        <v>34</v>
      </c>
      <c r="J22">
        <f t="shared" si="0"/>
        <v>0</v>
      </c>
      <c r="L22">
        <f t="shared" si="1"/>
        <v>0</v>
      </c>
    </row>
    <row r="23" spans="1:12" x14ac:dyDescent="0.25">
      <c r="A23">
        <v>1723</v>
      </c>
      <c r="B23" t="s">
        <v>45</v>
      </c>
      <c r="C23" t="s">
        <v>69</v>
      </c>
      <c r="D23" t="s">
        <v>34</v>
      </c>
      <c r="J23">
        <f t="shared" si="0"/>
        <v>0</v>
      </c>
      <c r="L23">
        <f t="shared" si="1"/>
        <v>0</v>
      </c>
    </row>
    <row r="24" spans="1:12" x14ac:dyDescent="0.25">
      <c r="A24">
        <v>1723</v>
      </c>
      <c r="B24" t="s">
        <v>13</v>
      </c>
      <c r="C24" t="s">
        <v>69</v>
      </c>
      <c r="D24" t="s">
        <v>34</v>
      </c>
      <c r="H24">
        <f>15592+105464</f>
        <v>121056</v>
      </c>
      <c r="J24">
        <f t="shared" si="0"/>
        <v>121056</v>
      </c>
      <c r="L24">
        <f t="shared" si="1"/>
        <v>54.042857142857144</v>
      </c>
    </row>
    <row r="25" spans="1:12" x14ac:dyDescent="0.25">
      <c r="A25">
        <v>1723</v>
      </c>
      <c r="B25" t="s">
        <v>35</v>
      </c>
      <c r="C25" t="s">
        <v>69</v>
      </c>
      <c r="D25" t="s">
        <v>34</v>
      </c>
      <c r="J25">
        <f t="shared" si="0"/>
        <v>0</v>
      </c>
      <c r="L25">
        <f t="shared" si="1"/>
        <v>0</v>
      </c>
    </row>
    <row r="26" spans="1:12" x14ac:dyDescent="0.25">
      <c r="A26">
        <v>1723</v>
      </c>
      <c r="B26" t="s">
        <v>14</v>
      </c>
      <c r="C26" t="s">
        <v>69</v>
      </c>
      <c r="D26" t="s">
        <v>34</v>
      </c>
      <c r="E26">
        <v>4</v>
      </c>
      <c r="J26">
        <f t="shared" si="0"/>
        <v>8960</v>
      </c>
      <c r="L26">
        <f t="shared" si="1"/>
        <v>4</v>
      </c>
    </row>
    <row r="27" spans="1:12" x14ac:dyDescent="0.25">
      <c r="A27">
        <v>1723</v>
      </c>
      <c r="B27" t="s">
        <v>15</v>
      </c>
      <c r="C27" t="s">
        <v>69</v>
      </c>
      <c r="D27" t="s">
        <v>34</v>
      </c>
      <c r="J27">
        <f t="shared" ref="J27:J43" si="2">(E27*2240)+(F27*112)+(G27*28)+H27</f>
        <v>0</v>
      </c>
      <c r="L27">
        <f t="shared" si="1"/>
        <v>0</v>
      </c>
    </row>
    <row r="28" spans="1:12" x14ac:dyDescent="0.25">
      <c r="A28">
        <v>1723</v>
      </c>
      <c r="B28" t="s">
        <v>24</v>
      </c>
      <c r="C28" t="s">
        <v>69</v>
      </c>
      <c r="D28" t="s">
        <v>34</v>
      </c>
      <c r="J28">
        <f t="shared" si="2"/>
        <v>0</v>
      </c>
      <c r="L28">
        <f t="shared" si="1"/>
        <v>0</v>
      </c>
    </row>
    <row r="29" spans="1:12" x14ac:dyDescent="0.25">
      <c r="A29">
        <v>1723</v>
      </c>
      <c r="B29" t="s">
        <v>28</v>
      </c>
      <c r="C29" t="s">
        <v>69</v>
      </c>
      <c r="D29" t="s">
        <v>34</v>
      </c>
      <c r="H29">
        <v>13837</v>
      </c>
      <c r="I29" t="s">
        <v>88</v>
      </c>
      <c r="J29">
        <f t="shared" si="2"/>
        <v>13837</v>
      </c>
      <c r="L29">
        <f t="shared" ref="L29:L43" si="3">J29/2240</f>
        <v>6.1772321428571431</v>
      </c>
    </row>
    <row r="30" spans="1:12" x14ac:dyDescent="0.25">
      <c r="A30">
        <v>1723</v>
      </c>
      <c r="B30" t="s">
        <v>16</v>
      </c>
      <c r="C30" t="s">
        <v>69</v>
      </c>
      <c r="D30" t="s">
        <v>34</v>
      </c>
      <c r="J30">
        <f t="shared" si="2"/>
        <v>0</v>
      </c>
      <c r="L30">
        <f t="shared" si="3"/>
        <v>0</v>
      </c>
    </row>
    <row r="31" spans="1:12" x14ac:dyDescent="0.25">
      <c r="A31">
        <v>1723</v>
      </c>
      <c r="B31" t="s">
        <v>43</v>
      </c>
      <c r="C31" t="s">
        <v>69</v>
      </c>
      <c r="D31" t="s">
        <v>34</v>
      </c>
      <c r="J31">
        <f t="shared" si="2"/>
        <v>0</v>
      </c>
      <c r="L31">
        <f t="shared" si="3"/>
        <v>0</v>
      </c>
    </row>
    <row r="32" spans="1:12" x14ac:dyDescent="0.25">
      <c r="A32">
        <v>1723</v>
      </c>
      <c r="B32" t="s">
        <v>48</v>
      </c>
      <c r="C32" t="s">
        <v>69</v>
      </c>
      <c r="D32" t="s">
        <v>34</v>
      </c>
      <c r="J32">
        <f t="shared" si="2"/>
        <v>0</v>
      </c>
      <c r="L32">
        <f t="shared" si="3"/>
        <v>0</v>
      </c>
    </row>
    <row r="33" spans="1:12" x14ac:dyDescent="0.25">
      <c r="A33">
        <v>1723</v>
      </c>
      <c r="B33" t="s">
        <v>17</v>
      </c>
      <c r="C33" t="s">
        <v>69</v>
      </c>
      <c r="D33" t="s">
        <v>34</v>
      </c>
      <c r="H33">
        <v>91537</v>
      </c>
      <c r="J33">
        <f t="shared" si="2"/>
        <v>91537</v>
      </c>
      <c r="L33">
        <f t="shared" si="3"/>
        <v>40.864732142857143</v>
      </c>
    </row>
    <row r="34" spans="1:12" x14ac:dyDescent="0.25">
      <c r="A34">
        <v>1723</v>
      </c>
      <c r="B34" t="s">
        <v>18</v>
      </c>
      <c r="C34" t="s">
        <v>69</v>
      </c>
      <c r="D34" t="s">
        <v>34</v>
      </c>
      <c r="F34">
        <v>14</v>
      </c>
      <c r="J34">
        <f t="shared" si="2"/>
        <v>1568</v>
      </c>
      <c r="L34">
        <f t="shared" si="3"/>
        <v>0.7</v>
      </c>
    </row>
    <row r="35" spans="1:12" x14ac:dyDescent="0.25">
      <c r="A35">
        <v>1723</v>
      </c>
      <c r="B35" t="s">
        <v>19</v>
      </c>
      <c r="C35" t="s">
        <v>69</v>
      </c>
      <c r="D35" t="s">
        <v>34</v>
      </c>
      <c r="H35">
        <v>132415</v>
      </c>
      <c r="I35" t="s">
        <v>92</v>
      </c>
      <c r="J35">
        <f t="shared" si="2"/>
        <v>132415</v>
      </c>
      <c r="L35">
        <f t="shared" si="3"/>
        <v>59.113839285714285</v>
      </c>
    </row>
    <row r="36" spans="1:12" x14ac:dyDescent="0.25">
      <c r="A36">
        <v>1723</v>
      </c>
      <c r="B36" t="s">
        <v>71</v>
      </c>
      <c r="C36" t="s">
        <v>69</v>
      </c>
      <c r="D36" t="s">
        <v>34</v>
      </c>
      <c r="J36">
        <f t="shared" si="2"/>
        <v>0</v>
      </c>
      <c r="L36">
        <f t="shared" si="3"/>
        <v>0</v>
      </c>
    </row>
    <row r="37" spans="1:12" x14ac:dyDescent="0.25">
      <c r="A37">
        <v>1723</v>
      </c>
      <c r="B37" t="s">
        <v>20</v>
      </c>
      <c r="C37" t="s">
        <v>69</v>
      </c>
      <c r="D37" t="s">
        <v>34</v>
      </c>
      <c r="F37">
        <v>61</v>
      </c>
      <c r="G37">
        <v>3</v>
      </c>
      <c r="H37">
        <v>13</v>
      </c>
      <c r="J37">
        <f t="shared" si="2"/>
        <v>6929</v>
      </c>
      <c r="L37">
        <f t="shared" si="3"/>
        <v>3.0933035714285713</v>
      </c>
    </row>
    <row r="38" spans="1:12" x14ac:dyDescent="0.25">
      <c r="A38">
        <v>1723</v>
      </c>
      <c r="B38" t="s">
        <v>46</v>
      </c>
      <c r="C38" t="s">
        <v>69</v>
      </c>
      <c r="D38" t="s">
        <v>34</v>
      </c>
      <c r="H38">
        <v>193201</v>
      </c>
      <c r="J38">
        <f t="shared" si="2"/>
        <v>193201</v>
      </c>
      <c r="L38">
        <f t="shared" si="3"/>
        <v>86.250446428571422</v>
      </c>
    </row>
    <row r="39" spans="1:12" x14ac:dyDescent="0.25">
      <c r="A39">
        <v>1723</v>
      </c>
      <c r="B39" t="s">
        <v>55</v>
      </c>
      <c r="C39" t="s">
        <v>69</v>
      </c>
      <c r="D39" t="s">
        <v>34</v>
      </c>
      <c r="H39">
        <v>704</v>
      </c>
      <c r="J39">
        <f t="shared" si="2"/>
        <v>704</v>
      </c>
      <c r="L39">
        <f t="shared" si="3"/>
        <v>0.31428571428571428</v>
      </c>
    </row>
    <row r="40" spans="1:12" x14ac:dyDescent="0.25">
      <c r="A40">
        <v>1723</v>
      </c>
      <c r="B40" t="s">
        <v>21</v>
      </c>
      <c r="C40" t="s">
        <v>69</v>
      </c>
      <c r="D40" t="s">
        <v>34</v>
      </c>
      <c r="J40">
        <f t="shared" si="2"/>
        <v>0</v>
      </c>
      <c r="L40">
        <f t="shared" si="3"/>
        <v>0</v>
      </c>
    </row>
    <row r="41" spans="1:12" x14ac:dyDescent="0.25">
      <c r="A41">
        <v>1723</v>
      </c>
      <c r="B41" t="s">
        <v>22</v>
      </c>
      <c r="C41" t="s">
        <v>69</v>
      </c>
      <c r="D41" t="s">
        <v>34</v>
      </c>
      <c r="H41">
        <v>4117</v>
      </c>
      <c r="J41">
        <f t="shared" si="2"/>
        <v>4117</v>
      </c>
      <c r="L41">
        <f t="shared" si="3"/>
        <v>1.8379464285714286</v>
      </c>
    </row>
    <row r="42" spans="1:12" x14ac:dyDescent="0.25">
      <c r="A42">
        <v>1723</v>
      </c>
      <c r="B42" t="s">
        <v>23</v>
      </c>
      <c r="C42" t="s">
        <v>69</v>
      </c>
      <c r="D42" t="s">
        <v>34</v>
      </c>
      <c r="J42">
        <f t="shared" si="2"/>
        <v>0</v>
      </c>
      <c r="L42">
        <f t="shared" si="3"/>
        <v>0</v>
      </c>
    </row>
    <row r="43" spans="1:12" x14ac:dyDescent="0.25">
      <c r="A43">
        <v>1723</v>
      </c>
      <c r="B43" t="s">
        <v>62</v>
      </c>
      <c r="C43" t="s">
        <v>69</v>
      </c>
      <c r="D43" t="s">
        <v>34</v>
      </c>
      <c r="E43">
        <v>35</v>
      </c>
      <c r="G43">
        <v>2</v>
      </c>
      <c r="J43">
        <f t="shared" si="2"/>
        <v>78456</v>
      </c>
      <c r="L43">
        <f t="shared" si="3"/>
        <v>35.024999999999999</v>
      </c>
    </row>
    <row r="44" spans="1:12" x14ac:dyDescent="0.25">
      <c r="A44">
        <v>1723</v>
      </c>
      <c r="B44" t="s">
        <v>90</v>
      </c>
      <c r="C44" t="s">
        <v>69</v>
      </c>
      <c r="D44" t="s">
        <v>34</v>
      </c>
      <c r="E44">
        <v>64</v>
      </c>
      <c r="F44">
        <v>2</v>
      </c>
      <c r="G44">
        <v>3</v>
      </c>
      <c r="J44">
        <f t="shared" ref="J44:J45" si="4">(E44*2240)+(F44*112)+(G44*28)+H44</f>
        <v>143668</v>
      </c>
      <c r="L44">
        <f t="shared" ref="L44:L45" si="5">J44/2240</f>
        <v>64.137500000000003</v>
      </c>
    </row>
    <row r="45" spans="1:12" x14ac:dyDescent="0.25">
      <c r="A45">
        <v>1723</v>
      </c>
      <c r="B45" t="s">
        <v>89</v>
      </c>
      <c r="C45" t="s">
        <v>69</v>
      </c>
      <c r="D45" t="s">
        <v>34</v>
      </c>
      <c r="E45">
        <v>11</v>
      </c>
      <c r="F45">
        <v>2</v>
      </c>
      <c r="G45">
        <v>2</v>
      </c>
      <c r="J45">
        <f t="shared" si="4"/>
        <v>24920</v>
      </c>
      <c r="L45">
        <f t="shared" si="5"/>
        <v>11.125</v>
      </c>
    </row>
    <row r="46" spans="1:12" x14ac:dyDescent="0.25">
      <c r="A46">
        <v>1723</v>
      </c>
      <c r="B46" t="s">
        <v>63</v>
      </c>
      <c r="C46" t="s">
        <v>69</v>
      </c>
      <c r="D46" t="s">
        <v>34</v>
      </c>
      <c r="E46">
        <v>282</v>
      </c>
      <c r="F46">
        <v>17</v>
      </c>
      <c r="G46">
        <v>3</v>
      </c>
      <c r="H46">
        <v>17</v>
      </c>
      <c r="J46">
        <f>(E46*2240)+(F46*112)+(G46*28)+H46</f>
        <v>633685</v>
      </c>
      <c r="L46">
        <f>J46/2240</f>
        <v>282.89508928571428</v>
      </c>
    </row>
    <row r="47" spans="1:12" x14ac:dyDescent="0.25">
      <c r="A47">
        <v>1723</v>
      </c>
      <c r="B47" t="s">
        <v>64</v>
      </c>
      <c r="C47" t="s">
        <v>69</v>
      </c>
      <c r="D47" t="s">
        <v>34</v>
      </c>
      <c r="E47">
        <v>380</v>
      </c>
      <c r="F47">
        <v>1</v>
      </c>
      <c r="J47">
        <f>(E47*2240)+(F47*112)+(G47*28)+H47</f>
        <v>851312</v>
      </c>
      <c r="L47">
        <f>J47/2240</f>
        <v>380.05</v>
      </c>
    </row>
    <row r="48" spans="1:12" x14ac:dyDescent="0.25">
      <c r="A48">
        <v>1723</v>
      </c>
      <c r="B48" t="s">
        <v>72</v>
      </c>
      <c r="C48" t="s">
        <v>69</v>
      </c>
      <c r="D48" t="s">
        <v>34</v>
      </c>
      <c r="E48">
        <v>72</v>
      </c>
      <c r="F48">
        <v>4</v>
      </c>
      <c r="G48">
        <v>2</v>
      </c>
      <c r="H48">
        <v>7</v>
      </c>
      <c r="J48">
        <f>(E48*2240)+(F48*112)+(G48*28)+H48</f>
        <v>161791</v>
      </c>
      <c r="L48">
        <f>J48/2240</f>
        <v>72.228125000000006</v>
      </c>
    </row>
    <row r="49" spans="1:12" x14ac:dyDescent="0.25">
      <c r="A49">
        <v>1723</v>
      </c>
      <c r="B49" t="s">
        <v>65</v>
      </c>
      <c r="C49" t="s">
        <v>69</v>
      </c>
      <c r="D49" t="s">
        <v>34</v>
      </c>
      <c r="E49">
        <v>5</v>
      </c>
      <c r="F49">
        <v>10</v>
      </c>
      <c r="J49">
        <f>(E49*2240)+(F49*112)+(G49*28)+H49</f>
        <v>12320</v>
      </c>
      <c r="L49">
        <f>J49/2240</f>
        <v>5.5</v>
      </c>
    </row>
    <row r="50" spans="1:12" x14ac:dyDescent="0.25">
      <c r="A50">
        <v>1723</v>
      </c>
      <c r="B50" t="s">
        <v>66</v>
      </c>
      <c r="C50" t="s">
        <v>69</v>
      </c>
      <c r="D50" t="s">
        <v>34</v>
      </c>
      <c r="J50">
        <f>(E50*2240)+(F50*112)+(G50*28)+H50</f>
        <v>0</v>
      </c>
      <c r="L50">
        <f>J50/2240</f>
        <v>0</v>
      </c>
    </row>
    <row r="51" spans="1:12" x14ac:dyDescent="0.25">
      <c r="A51">
        <v>1723</v>
      </c>
      <c r="B51" t="s">
        <v>4</v>
      </c>
      <c r="C51" t="s">
        <v>69</v>
      </c>
      <c r="D51" t="s">
        <v>36</v>
      </c>
      <c r="J51">
        <f t="shared" ref="J51:J56" si="6">(E51*2240)+(F51*112)+(G51*28)+H51</f>
        <v>0</v>
      </c>
      <c r="L51">
        <f t="shared" ref="L51:L56" si="7">J51/2240</f>
        <v>0</v>
      </c>
    </row>
    <row r="52" spans="1:12" x14ac:dyDescent="0.25">
      <c r="A52">
        <v>1723</v>
      </c>
      <c r="B52" t="s">
        <v>5</v>
      </c>
      <c r="C52" t="s">
        <v>69</v>
      </c>
      <c r="D52" t="s">
        <v>36</v>
      </c>
      <c r="F52">
        <v>11</v>
      </c>
      <c r="G52">
        <v>2</v>
      </c>
      <c r="J52">
        <f t="shared" si="6"/>
        <v>1288</v>
      </c>
      <c r="L52">
        <f t="shared" si="7"/>
        <v>0.57499999999999996</v>
      </c>
    </row>
    <row r="53" spans="1:12" x14ac:dyDescent="0.25">
      <c r="A53">
        <v>1723</v>
      </c>
      <c r="B53" t="s">
        <v>6</v>
      </c>
      <c r="C53" t="s">
        <v>69</v>
      </c>
      <c r="D53" t="s">
        <v>36</v>
      </c>
      <c r="F53">
        <v>56637</v>
      </c>
      <c r="H53">
        <v>17</v>
      </c>
      <c r="J53">
        <f t="shared" si="6"/>
        <v>6343361</v>
      </c>
      <c r="L53">
        <f t="shared" si="7"/>
        <v>2831.8575892857143</v>
      </c>
    </row>
    <row r="54" spans="1:12" x14ac:dyDescent="0.25">
      <c r="A54">
        <v>1723</v>
      </c>
      <c r="B54" t="s">
        <v>61</v>
      </c>
      <c r="C54" t="s">
        <v>69</v>
      </c>
      <c r="D54" t="s">
        <v>36</v>
      </c>
      <c r="J54">
        <f t="shared" si="6"/>
        <v>0</v>
      </c>
      <c r="L54">
        <f t="shared" si="7"/>
        <v>0</v>
      </c>
    </row>
    <row r="55" spans="1:12" x14ac:dyDescent="0.25">
      <c r="A55">
        <v>1723</v>
      </c>
      <c r="B55" t="s">
        <v>8</v>
      </c>
      <c r="C55" t="s">
        <v>69</v>
      </c>
      <c r="D55" t="s">
        <v>36</v>
      </c>
      <c r="J55">
        <f t="shared" si="6"/>
        <v>0</v>
      </c>
      <c r="L55">
        <f t="shared" si="7"/>
        <v>0</v>
      </c>
    </row>
    <row r="56" spans="1:12" x14ac:dyDescent="0.25">
      <c r="A56">
        <v>1723</v>
      </c>
      <c r="B56" t="s">
        <v>39</v>
      </c>
      <c r="C56" t="s">
        <v>69</v>
      </c>
      <c r="D56" t="s">
        <v>36</v>
      </c>
      <c r="H56">
        <v>450</v>
      </c>
      <c r="J56">
        <f t="shared" si="6"/>
        <v>450</v>
      </c>
      <c r="L56">
        <f t="shared" si="7"/>
        <v>0.20089285714285715</v>
      </c>
    </row>
    <row r="57" spans="1:12" x14ac:dyDescent="0.25">
      <c r="A57">
        <v>1723</v>
      </c>
      <c r="B57" t="s">
        <v>9</v>
      </c>
      <c r="C57" t="s">
        <v>69</v>
      </c>
      <c r="D57" t="s">
        <v>36</v>
      </c>
      <c r="F57">
        <v>32</v>
      </c>
      <c r="G57">
        <v>3</v>
      </c>
      <c r="J57">
        <f t="shared" ref="J57:J77" si="8">(E57*2240)+(F57*112)+(G57*28)+H57</f>
        <v>3668</v>
      </c>
      <c r="L57">
        <f t="shared" ref="L57:L77" si="9">J57/2240</f>
        <v>1.6375</v>
      </c>
    </row>
    <row r="58" spans="1:12" x14ac:dyDescent="0.25">
      <c r="A58">
        <v>1723</v>
      </c>
      <c r="B58" t="s">
        <v>109</v>
      </c>
      <c r="C58" t="s">
        <v>69</v>
      </c>
      <c r="D58" t="s">
        <v>36</v>
      </c>
      <c r="H58">
        <v>38062</v>
      </c>
      <c r="J58">
        <f t="shared" si="8"/>
        <v>38062</v>
      </c>
      <c r="L58">
        <f t="shared" si="9"/>
        <v>16.991964285714285</v>
      </c>
    </row>
    <row r="59" spans="1:12" x14ac:dyDescent="0.25">
      <c r="A59">
        <v>1723</v>
      </c>
      <c r="B59" t="s">
        <v>10</v>
      </c>
      <c r="C59" t="s">
        <v>69</v>
      </c>
      <c r="D59" t="s">
        <v>36</v>
      </c>
      <c r="F59">
        <v>4069</v>
      </c>
      <c r="G59">
        <v>1</v>
      </c>
      <c r="H59">
        <v>11</v>
      </c>
      <c r="J59">
        <f t="shared" si="8"/>
        <v>455767</v>
      </c>
      <c r="L59">
        <f t="shared" si="9"/>
        <v>203.46741071428571</v>
      </c>
    </row>
    <row r="60" spans="1:12" x14ac:dyDescent="0.25">
      <c r="A60">
        <v>1723</v>
      </c>
      <c r="B60" t="s">
        <v>11</v>
      </c>
      <c r="C60" t="s">
        <v>69</v>
      </c>
      <c r="D60" t="s">
        <v>36</v>
      </c>
      <c r="F60">
        <v>3774</v>
      </c>
      <c r="G60">
        <v>3</v>
      </c>
      <c r="H60">
        <v>18</v>
      </c>
      <c r="J60">
        <f t="shared" si="8"/>
        <v>422790</v>
      </c>
      <c r="L60">
        <f t="shared" si="9"/>
        <v>188.74553571428572</v>
      </c>
    </row>
    <row r="61" spans="1:12" x14ac:dyDescent="0.25">
      <c r="A61">
        <v>1723</v>
      </c>
      <c r="B61" t="s">
        <v>12</v>
      </c>
      <c r="C61" t="s">
        <v>69</v>
      </c>
      <c r="D61" t="s">
        <v>36</v>
      </c>
      <c r="F61">
        <v>217</v>
      </c>
      <c r="G61">
        <v>2</v>
      </c>
      <c r="H61">
        <v>13</v>
      </c>
      <c r="J61">
        <f t="shared" si="8"/>
        <v>24373</v>
      </c>
      <c r="L61">
        <f t="shared" si="9"/>
        <v>10.880803571428572</v>
      </c>
    </row>
    <row r="62" spans="1:12" x14ac:dyDescent="0.25">
      <c r="A62">
        <v>1723</v>
      </c>
      <c r="B62" t="s">
        <v>13</v>
      </c>
      <c r="C62" t="s">
        <v>69</v>
      </c>
      <c r="D62" t="s">
        <v>36</v>
      </c>
      <c r="H62">
        <f>10512+93396</f>
        <v>103908</v>
      </c>
      <c r="J62">
        <f t="shared" si="8"/>
        <v>103908</v>
      </c>
      <c r="L62">
        <f t="shared" si="9"/>
        <v>46.387500000000003</v>
      </c>
    </row>
    <row r="63" spans="1:12" x14ac:dyDescent="0.25">
      <c r="A63">
        <v>1723</v>
      </c>
      <c r="B63" t="s">
        <v>14</v>
      </c>
      <c r="C63" t="s">
        <v>69</v>
      </c>
      <c r="D63" t="s">
        <v>36</v>
      </c>
      <c r="F63">
        <v>9</v>
      </c>
      <c r="G63">
        <v>2</v>
      </c>
      <c r="J63">
        <f t="shared" si="8"/>
        <v>1064</v>
      </c>
      <c r="L63">
        <f t="shared" si="9"/>
        <v>0.47499999999999998</v>
      </c>
    </row>
    <row r="64" spans="1:12" x14ac:dyDescent="0.25">
      <c r="A64">
        <v>1723</v>
      </c>
      <c r="B64" t="s">
        <v>15</v>
      </c>
      <c r="C64" t="s">
        <v>69</v>
      </c>
      <c r="D64" t="s">
        <v>36</v>
      </c>
      <c r="H64">
        <v>8508</v>
      </c>
      <c r="I64" t="s">
        <v>110</v>
      </c>
      <c r="J64">
        <f t="shared" si="8"/>
        <v>8508</v>
      </c>
      <c r="L64">
        <f t="shared" si="9"/>
        <v>3.7982142857142858</v>
      </c>
    </row>
    <row r="65" spans="1:12" x14ac:dyDescent="0.25">
      <c r="A65">
        <v>1723</v>
      </c>
      <c r="B65" t="s">
        <v>28</v>
      </c>
      <c r="C65" t="s">
        <v>69</v>
      </c>
      <c r="D65" t="s">
        <v>36</v>
      </c>
      <c r="H65">
        <v>1857</v>
      </c>
      <c r="I65" t="s">
        <v>108</v>
      </c>
      <c r="J65">
        <f t="shared" si="8"/>
        <v>1857</v>
      </c>
      <c r="L65">
        <f t="shared" si="9"/>
        <v>0.82901785714285714</v>
      </c>
    </row>
    <row r="66" spans="1:12" x14ac:dyDescent="0.25">
      <c r="A66">
        <v>1723</v>
      </c>
      <c r="B66" t="s">
        <v>16</v>
      </c>
      <c r="C66" t="s">
        <v>69</v>
      </c>
      <c r="D66" t="s">
        <v>36</v>
      </c>
      <c r="J66">
        <f t="shared" si="8"/>
        <v>0</v>
      </c>
      <c r="L66">
        <f t="shared" si="9"/>
        <v>0</v>
      </c>
    </row>
    <row r="67" spans="1:12" x14ac:dyDescent="0.25">
      <c r="A67">
        <v>1723</v>
      </c>
      <c r="B67" t="s">
        <v>17</v>
      </c>
      <c r="C67" t="s">
        <v>69</v>
      </c>
      <c r="D67" t="s">
        <v>36</v>
      </c>
      <c r="H67">
        <v>50564</v>
      </c>
      <c r="J67">
        <f t="shared" si="8"/>
        <v>50564</v>
      </c>
      <c r="L67">
        <f t="shared" si="9"/>
        <v>22.573214285714286</v>
      </c>
    </row>
    <row r="68" spans="1:12" x14ac:dyDescent="0.25">
      <c r="A68">
        <v>1723</v>
      </c>
      <c r="B68" t="s">
        <v>18</v>
      </c>
      <c r="C68" t="s">
        <v>69</v>
      </c>
      <c r="D68" t="s">
        <v>36</v>
      </c>
      <c r="J68">
        <f t="shared" si="8"/>
        <v>0</v>
      </c>
      <c r="L68">
        <f t="shared" si="9"/>
        <v>0</v>
      </c>
    </row>
    <row r="69" spans="1:12" x14ac:dyDescent="0.25">
      <c r="A69">
        <v>1723</v>
      </c>
      <c r="B69" t="s">
        <v>19</v>
      </c>
      <c r="C69" t="s">
        <v>69</v>
      </c>
      <c r="D69" t="s">
        <v>36</v>
      </c>
      <c r="H69">
        <v>42066</v>
      </c>
      <c r="I69" t="s">
        <v>111</v>
      </c>
      <c r="J69">
        <f t="shared" si="8"/>
        <v>42066</v>
      </c>
      <c r="L69">
        <f t="shared" si="9"/>
        <v>18.779464285714287</v>
      </c>
    </row>
    <row r="70" spans="1:12" x14ac:dyDescent="0.25">
      <c r="A70">
        <v>1723</v>
      </c>
      <c r="B70" t="s">
        <v>20</v>
      </c>
      <c r="C70" t="s">
        <v>69</v>
      </c>
      <c r="D70" t="s">
        <v>36</v>
      </c>
      <c r="F70">
        <v>48</v>
      </c>
      <c r="H70">
        <v>22</v>
      </c>
      <c r="J70">
        <f t="shared" si="8"/>
        <v>5398</v>
      </c>
      <c r="L70">
        <f t="shared" si="9"/>
        <v>2.4098214285714286</v>
      </c>
    </row>
    <row r="71" spans="1:12" x14ac:dyDescent="0.25">
      <c r="A71">
        <v>1723</v>
      </c>
      <c r="B71" t="s">
        <v>46</v>
      </c>
      <c r="C71" t="s">
        <v>69</v>
      </c>
      <c r="D71" t="s">
        <v>36</v>
      </c>
      <c r="J71">
        <f t="shared" si="8"/>
        <v>0</v>
      </c>
      <c r="L71">
        <f t="shared" si="9"/>
        <v>0</v>
      </c>
    </row>
    <row r="72" spans="1:12" x14ac:dyDescent="0.25">
      <c r="A72">
        <v>1723</v>
      </c>
      <c r="B72" t="s">
        <v>55</v>
      </c>
      <c r="C72" t="s">
        <v>69</v>
      </c>
      <c r="D72" t="s">
        <v>36</v>
      </c>
      <c r="J72">
        <f t="shared" si="8"/>
        <v>0</v>
      </c>
      <c r="L72">
        <f t="shared" si="9"/>
        <v>0</v>
      </c>
    </row>
    <row r="73" spans="1:12" x14ac:dyDescent="0.25">
      <c r="A73">
        <v>1723</v>
      </c>
      <c r="B73" t="s">
        <v>73</v>
      </c>
      <c r="C73" t="s">
        <v>69</v>
      </c>
      <c r="D73" t="s">
        <v>36</v>
      </c>
      <c r="F73">
        <v>1</v>
      </c>
      <c r="G73">
        <v>2</v>
      </c>
      <c r="J73">
        <f t="shared" si="8"/>
        <v>168</v>
      </c>
      <c r="L73">
        <f t="shared" si="9"/>
        <v>7.4999999999999997E-2</v>
      </c>
    </row>
    <row r="74" spans="1:12" x14ac:dyDescent="0.25">
      <c r="A74">
        <v>1723</v>
      </c>
      <c r="B74" t="s">
        <v>21</v>
      </c>
      <c r="C74" t="s">
        <v>69</v>
      </c>
      <c r="D74" t="s">
        <v>36</v>
      </c>
      <c r="H74">
        <v>1313</v>
      </c>
      <c r="J74">
        <f t="shared" si="8"/>
        <v>1313</v>
      </c>
      <c r="L74">
        <f t="shared" si="9"/>
        <v>0.58616071428571426</v>
      </c>
    </row>
    <row r="75" spans="1:12" x14ac:dyDescent="0.25">
      <c r="A75">
        <v>1723</v>
      </c>
      <c r="B75" t="s">
        <v>22</v>
      </c>
      <c r="C75" t="s">
        <v>69</v>
      </c>
      <c r="D75" t="s">
        <v>36</v>
      </c>
      <c r="H75">
        <v>2399</v>
      </c>
      <c r="J75">
        <f t="shared" si="8"/>
        <v>2399</v>
      </c>
      <c r="L75">
        <f t="shared" si="9"/>
        <v>1.0709821428571429</v>
      </c>
    </row>
    <row r="76" spans="1:12" x14ac:dyDescent="0.25">
      <c r="A76">
        <v>1723</v>
      </c>
      <c r="B76" t="s">
        <v>23</v>
      </c>
      <c r="C76" t="s">
        <v>69</v>
      </c>
      <c r="D76" t="s">
        <v>36</v>
      </c>
      <c r="J76">
        <f t="shared" si="8"/>
        <v>0</v>
      </c>
      <c r="L76">
        <f t="shared" si="9"/>
        <v>0</v>
      </c>
    </row>
    <row r="77" spans="1:12" x14ac:dyDescent="0.25">
      <c r="A77">
        <v>1723</v>
      </c>
      <c r="B77" t="s">
        <v>62</v>
      </c>
      <c r="C77" t="s">
        <v>69</v>
      </c>
      <c r="D77" t="s">
        <v>36</v>
      </c>
      <c r="E77">
        <v>7</v>
      </c>
      <c r="F77">
        <v>7</v>
      </c>
      <c r="H77">
        <v>6</v>
      </c>
      <c r="J77">
        <f t="shared" si="8"/>
        <v>16470</v>
      </c>
      <c r="L77">
        <f t="shared" si="9"/>
        <v>7.3526785714285712</v>
      </c>
    </row>
    <row r="78" spans="1:12" x14ac:dyDescent="0.25">
      <c r="A78">
        <v>1723</v>
      </c>
      <c r="B78" t="s">
        <v>63</v>
      </c>
      <c r="C78" t="s">
        <v>69</v>
      </c>
      <c r="D78" t="s">
        <v>36</v>
      </c>
      <c r="E78">
        <v>192</v>
      </c>
      <c r="F78">
        <v>1</v>
      </c>
      <c r="G78">
        <v>1</v>
      </c>
      <c r="H78">
        <v>23</v>
      </c>
      <c r="J78">
        <f t="shared" ref="J78:J82" si="10">(E78*2240)+(F78*112)+(G78*28)+H78</f>
        <v>430243</v>
      </c>
      <c r="L78">
        <f t="shared" ref="L78:L82" si="11">J78/2240</f>
        <v>192.07276785714285</v>
      </c>
    </row>
    <row r="79" spans="1:12" x14ac:dyDescent="0.25">
      <c r="A79">
        <v>1723</v>
      </c>
      <c r="B79" t="s">
        <v>64</v>
      </c>
      <c r="C79" t="s">
        <v>69</v>
      </c>
      <c r="D79" t="s">
        <v>36</v>
      </c>
      <c r="E79">
        <v>524</v>
      </c>
      <c r="G79">
        <v>3</v>
      </c>
      <c r="H79">
        <v>11</v>
      </c>
      <c r="J79">
        <f t="shared" si="10"/>
        <v>1173855</v>
      </c>
      <c r="L79">
        <f t="shared" si="11"/>
        <v>524.04241071428567</v>
      </c>
    </row>
    <row r="80" spans="1:12" x14ac:dyDescent="0.25">
      <c r="A80">
        <v>1723</v>
      </c>
      <c r="B80" t="s">
        <v>72</v>
      </c>
      <c r="C80" t="s">
        <v>69</v>
      </c>
      <c r="D80" t="s">
        <v>36</v>
      </c>
      <c r="E80">
        <v>44</v>
      </c>
      <c r="F80">
        <v>12</v>
      </c>
      <c r="G80">
        <v>1</v>
      </c>
      <c r="H80">
        <v>11</v>
      </c>
      <c r="J80">
        <f t="shared" si="10"/>
        <v>99943</v>
      </c>
      <c r="L80">
        <f t="shared" si="11"/>
        <v>44.617410714285711</v>
      </c>
    </row>
    <row r="81" spans="1:12" x14ac:dyDescent="0.25">
      <c r="A81">
        <v>1723</v>
      </c>
      <c r="B81" t="s">
        <v>65</v>
      </c>
      <c r="C81" t="s">
        <v>69</v>
      </c>
      <c r="D81" t="s">
        <v>36</v>
      </c>
      <c r="E81">
        <v>39</v>
      </c>
      <c r="F81">
        <v>10</v>
      </c>
      <c r="J81">
        <f t="shared" si="10"/>
        <v>88480</v>
      </c>
      <c r="L81">
        <f t="shared" si="11"/>
        <v>39.5</v>
      </c>
    </row>
    <row r="82" spans="1:12" x14ac:dyDescent="0.25">
      <c r="A82">
        <v>1723</v>
      </c>
      <c r="B82" t="s">
        <v>66</v>
      </c>
      <c r="C82" t="s">
        <v>69</v>
      </c>
      <c r="D82" t="s">
        <v>36</v>
      </c>
      <c r="F82">
        <v>1</v>
      </c>
      <c r="J82">
        <f t="shared" si="10"/>
        <v>112</v>
      </c>
      <c r="L82">
        <f t="shared" si="11"/>
        <v>0.05</v>
      </c>
    </row>
  </sheetData>
  <autoFilter ref="A1:O65" xr:uid="{8C2F7725-5A61-4A1B-A740-CC887BCB0E68}">
    <sortState xmlns:xlrd2="http://schemas.microsoft.com/office/spreadsheetml/2017/richdata2" ref="A2:O65">
      <sortCondition ref="B1:B65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L67"/>
  <sheetViews>
    <sheetView topLeftCell="A18" workbookViewId="0">
      <selection activeCell="I18" sqref="I18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29</v>
      </c>
      <c r="F1" s="1" t="s">
        <v>30</v>
      </c>
      <c r="G1" s="1" t="s">
        <v>31</v>
      </c>
      <c r="H1" s="1" t="s">
        <v>32</v>
      </c>
      <c r="I1" s="1"/>
      <c r="J1" s="1" t="s">
        <v>33</v>
      </c>
      <c r="K1" s="1"/>
      <c r="L1" s="1" t="s">
        <v>53</v>
      </c>
    </row>
    <row r="2" spans="1:12" x14ac:dyDescent="0.25">
      <c r="A2">
        <v>1723</v>
      </c>
      <c r="B2" t="s">
        <v>56</v>
      </c>
      <c r="C2" t="s">
        <v>74</v>
      </c>
      <c r="D2" t="s">
        <v>34</v>
      </c>
      <c r="J2">
        <f>(E2*2240)+(F2*112)+(G2*28)+H2</f>
        <v>0</v>
      </c>
      <c r="L2">
        <f>J2/2240</f>
        <v>0</v>
      </c>
    </row>
    <row r="3" spans="1:12" x14ac:dyDescent="0.25">
      <c r="A3">
        <v>1723</v>
      </c>
      <c r="B3" t="s">
        <v>58</v>
      </c>
      <c r="C3" t="s">
        <v>74</v>
      </c>
      <c r="D3" t="s">
        <v>34</v>
      </c>
      <c r="J3">
        <f>(E3*2240)+(F3*112)+(G3*28)+H3</f>
        <v>0</v>
      </c>
      <c r="L3">
        <f>J3/2240</f>
        <v>0</v>
      </c>
    </row>
    <row r="4" spans="1:12" x14ac:dyDescent="0.25">
      <c r="A4">
        <v>1723</v>
      </c>
      <c r="B4" t="s">
        <v>38</v>
      </c>
      <c r="C4" t="s">
        <v>74</v>
      </c>
      <c r="D4" t="s">
        <v>34</v>
      </c>
      <c r="J4">
        <f>(E4*2240)+(F4*112)+(G4*28)+H4</f>
        <v>0</v>
      </c>
      <c r="L4">
        <f>J4/2240</f>
        <v>0</v>
      </c>
    </row>
    <row r="5" spans="1:12" x14ac:dyDescent="0.25">
      <c r="A5">
        <v>1723</v>
      </c>
      <c r="B5" t="s">
        <v>4</v>
      </c>
      <c r="C5" t="s">
        <v>74</v>
      </c>
      <c r="D5" t="s">
        <v>34</v>
      </c>
      <c r="J5">
        <f>(E5*2240)+(F5*112)+(G5*28)+H5</f>
        <v>0</v>
      </c>
      <c r="L5">
        <f>J5/2240</f>
        <v>0</v>
      </c>
    </row>
    <row r="6" spans="1:12" x14ac:dyDescent="0.25">
      <c r="A6">
        <v>1723</v>
      </c>
      <c r="B6" t="s">
        <v>59</v>
      </c>
      <c r="C6" t="s">
        <v>74</v>
      </c>
      <c r="D6" t="s">
        <v>34</v>
      </c>
      <c r="J6">
        <f>(E6*2240)+(F6*112)+(G6*28)+H6</f>
        <v>0</v>
      </c>
      <c r="L6">
        <f>J6/2240</f>
        <v>0</v>
      </c>
    </row>
    <row r="7" spans="1:12" x14ac:dyDescent="0.25">
      <c r="A7">
        <v>1723</v>
      </c>
      <c r="B7" t="s">
        <v>70</v>
      </c>
      <c r="C7" t="s">
        <v>74</v>
      </c>
      <c r="D7" t="s">
        <v>34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1723</v>
      </c>
      <c r="B8" t="s">
        <v>44</v>
      </c>
      <c r="C8" t="s">
        <v>74</v>
      </c>
      <c r="D8" t="s">
        <v>34</v>
      </c>
      <c r="J8">
        <f t="shared" si="0"/>
        <v>0</v>
      </c>
      <c r="L8">
        <f t="shared" si="1"/>
        <v>0</v>
      </c>
    </row>
    <row r="9" spans="1:12" x14ac:dyDescent="0.25">
      <c r="A9">
        <v>1723</v>
      </c>
      <c r="B9" t="s">
        <v>5</v>
      </c>
      <c r="C9" t="s">
        <v>74</v>
      </c>
      <c r="D9" t="s">
        <v>34</v>
      </c>
      <c r="J9">
        <f t="shared" si="0"/>
        <v>0</v>
      </c>
      <c r="L9">
        <f t="shared" si="1"/>
        <v>0</v>
      </c>
    </row>
    <row r="10" spans="1:12" x14ac:dyDescent="0.25">
      <c r="A10">
        <v>1723</v>
      </c>
      <c r="B10" t="s">
        <v>60</v>
      </c>
      <c r="C10" t="s">
        <v>74</v>
      </c>
      <c r="D10" t="s">
        <v>34</v>
      </c>
      <c r="J10">
        <f t="shared" si="0"/>
        <v>0</v>
      </c>
      <c r="L10">
        <f t="shared" si="1"/>
        <v>0</v>
      </c>
    </row>
    <row r="11" spans="1:12" x14ac:dyDescent="0.25">
      <c r="A11">
        <v>1723</v>
      </c>
      <c r="B11" t="s">
        <v>6</v>
      </c>
      <c r="C11" t="s">
        <v>74</v>
      </c>
      <c r="D11" t="s">
        <v>34</v>
      </c>
      <c r="F11">
        <v>24938</v>
      </c>
      <c r="G11">
        <v>2</v>
      </c>
      <c r="H11">
        <v>4</v>
      </c>
      <c r="J11">
        <f t="shared" si="0"/>
        <v>2793116</v>
      </c>
      <c r="L11">
        <f t="shared" si="1"/>
        <v>1246.9267857142856</v>
      </c>
    </row>
    <row r="12" spans="1:12" x14ac:dyDescent="0.25">
      <c r="A12">
        <v>1723</v>
      </c>
      <c r="B12" t="s">
        <v>61</v>
      </c>
      <c r="C12" t="s">
        <v>74</v>
      </c>
      <c r="D12" t="s">
        <v>34</v>
      </c>
      <c r="J12">
        <f t="shared" si="0"/>
        <v>0</v>
      </c>
      <c r="L12">
        <f t="shared" si="1"/>
        <v>0</v>
      </c>
    </row>
    <row r="13" spans="1:12" x14ac:dyDescent="0.25">
      <c r="A13">
        <v>1723</v>
      </c>
      <c r="B13" t="s">
        <v>40</v>
      </c>
      <c r="C13" t="s">
        <v>74</v>
      </c>
      <c r="D13" t="s">
        <v>34</v>
      </c>
      <c r="J13">
        <f t="shared" si="0"/>
        <v>0</v>
      </c>
      <c r="L13">
        <f t="shared" si="1"/>
        <v>0</v>
      </c>
    </row>
    <row r="14" spans="1:12" x14ac:dyDescent="0.25">
      <c r="A14">
        <v>1723</v>
      </c>
      <c r="B14" t="s">
        <v>39</v>
      </c>
      <c r="C14" t="s">
        <v>74</v>
      </c>
      <c r="D14" t="s">
        <v>34</v>
      </c>
      <c r="J14">
        <f t="shared" si="0"/>
        <v>0</v>
      </c>
      <c r="L14">
        <f t="shared" si="1"/>
        <v>0</v>
      </c>
    </row>
    <row r="15" spans="1:12" x14ac:dyDescent="0.25">
      <c r="A15">
        <v>1723</v>
      </c>
      <c r="B15" t="s">
        <v>9</v>
      </c>
      <c r="C15" t="s">
        <v>74</v>
      </c>
      <c r="D15" t="s">
        <v>34</v>
      </c>
      <c r="J15">
        <f t="shared" si="0"/>
        <v>0</v>
      </c>
      <c r="L15">
        <f t="shared" si="1"/>
        <v>0</v>
      </c>
    </row>
    <row r="16" spans="1:12" x14ac:dyDescent="0.25">
      <c r="A16">
        <v>1723</v>
      </c>
      <c r="B16" t="s">
        <v>42</v>
      </c>
      <c r="C16" t="s">
        <v>74</v>
      </c>
      <c r="D16" t="s">
        <v>34</v>
      </c>
      <c r="J16">
        <f t="shared" si="0"/>
        <v>0</v>
      </c>
      <c r="L16">
        <f t="shared" si="1"/>
        <v>0</v>
      </c>
    </row>
    <row r="17" spans="1:12" x14ac:dyDescent="0.25">
      <c r="A17">
        <v>1723</v>
      </c>
      <c r="B17" t="s">
        <v>47</v>
      </c>
      <c r="C17" t="s">
        <v>74</v>
      </c>
      <c r="D17" t="s">
        <v>34</v>
      </c>
      <c r="J17">
        <f t="shared" si="0"/>
        <v>0</v>
      </c>
      <c r="L17">
        <f t="shared" si="1"/>
        <v>0</v>
      </c>
    </row>
    <row r="18" spans="1:12" x14ac:dyDescent="0.25">
      <c r="A18">
        <v>1723</v>
      </c>
      <c r="B18" t="s">
        <v>10</v>
      </c>
      <c r="C18" t="s">
        <v>74</v>
      </c>
      <c r="D18" t="s">
        <v>34</v>
      </c>
      <c r="H18">
        <f>45*200</f>
        <v>9000</v>
      </c>
      <c r="I18" t="s">
        <v>94</v>
      </c>
      <c r="J18">
        <f t="shared" si="0"/>
        <v>9000</v>
      </c>
      <c r="L18">
        <f t="shared" si="1"/>
        <v>4.0178571428571432</v>
      </c>
    </row>
    <row r="19" spans="1:12" x14ac:dyDescent="0.25">
      <c r="A19">
        <v>1723</v>
      </c>
      <c r="B19" t="s">
        <v>11</v>
      </c>
      <c r="C19" t="s">
        <v>74</v>
      </c>
      <c r="D19" t="s">
        <v>34</v>
      </c>
      <c r="F19">
        <v>154</v>
      </c>
      <c r="G19">
        <v>1</v>
      </c>
      <c r="J19">
        <f t="shared" si="0"/>
        <v>17276</v>
      </c>
      <c r="L19">
        <f t="shared" si="1"/>
        <v>7.7125000000000004</v>
      </c>
    </row>
    <row r="20" spans="1:12" x14ac:dyDescent="0.25">
      <c r="A20">
        <v>1723</v>
      </c>
      <c r="B20" t="s">
        <v>12</v>
      </c>
      <c r="C20" t="s">
        <v>74</v>
      </c>
      <c r="D20" t="s">
        <v>34</v>
      </c>
      <c r="J20">
        <f t="shared" si="0"/>
        <v>0</v>
      </c>
      <c r="L20">
        <f t="shared" si="1"/>
        <v>0</v>
      </c>
    </row>
    <row r="21" spans="1:12" x14ac:dyDescent="0.25">
      <c r="A21">
        <v>1723</v>
      </c>
      <c r="B21" t="s">
        <v>41</v>
      </c>
      <c r="C21" t="s">
        <v>74</v>
      </c>
      <c r="D21" t="s">
        <v>34</v>
      </c>
      <c r="J21">
        <f t="shared" si="0"/>
        <v>0</v>
      </c>
      <c r="L21">
        <f t="shared" si="1"/>
        <v>0</v>
      </c>
    </row>
    <row r="22" spans="1:12" x14ac:dyDescent="0.25">
      <c r="A22">
        <v>1723</v>
      </c>
      <c r="B22" t="s">
        <v>45</v>
      </c>
      <c r="C22" t="s">
        <v>74</v>
      </c>
      <c r="D22" t="s">
        <v>34</v>
      </c>
      <c r="J22">
        <f t="shared" si="0"/>
        <v>0</v>
      </c>
      <c r="L22">
        <f t="shared" si="1"/>
        <v>0</v>
      </c>
    </row>
    <row r="23" spans="1:12" x14ac:dyDescent="0.25">
      <c r="A23">
        <v>1723</v>
      </c>
      <c r="B23" t="s">
        <v>13</v>
      </c>
      <c r="C23" t="s">
        <v>74</v>
      </c>
      <c r="D23" t="s">
        <v>34</v>
      </c>
      <c r="H23">
        <v>5111</v>
      </c>
      <c r="J23">
        <f t="shared" si="0"/>
        <v>5111</v>
      </c>
      <c r="L23">
        <f t="shared" si="1"/>
        <v>2.2816964285714287</v>
      </c>
    </row>
    <row r="24" spans="1:12" x14ac:dyDescent="0.25">
      <c r="A24">
        <v>1723</v>
      </c>
      <c r="B24" t="s">
        <v>35</v>
      </c>
      <c r="C24" t="s">
        <v>74</v>
      </c>
      <c r="D24" t="s">
        <v>34</v>
      </c>
      <c r="J24">
        <f t="shared" si="0"/>
        <v>0</v>
      </c>
      <c r="L24">
        <f t="shared" si="1"/>
        <v>0</v>
      </c>
    </row>
    <row r="25" spans="1:12" x14ac:dyDescent="0.25">
      <c r="A25">
        <v>1723</v>
      </c>
      <c r="B25" t="s">
        <v>14</v>
      </c>
      <c r="C25" t="s">
        <v>74</v>
      </c>
      <c r="D25" t="s">
        <v>34</v>
      </c>
      <c r="E25">
        <v>13</v>
      </c>
      <c r="F25">
        <v>13</v>
      </c>
      <c r="G25">
        <v>3</v>
      </c>
      <c r="H25">
        <v>16</v>
      </c>
      <c r="J25">
        <f t="shared" si="0"/>
        <v>30676</v>
      </c>
      <c r="L25">
        <f t="shared" si="1"/>
        <v>13.694642857142858</v>
      </c>
    </row>
    <row r="26" spans="1:12" x14ac:dyDescent="0.25">
      <c r="A26">
        <v>1723</v>
      </c>
      <c r="B26" t="s">
        <v>15</v>
      </c>
      <c r="C26" t="s">
        <v>74</v>
      </c>
      <c r="D26" t="s">
        <v>34</v>
      </c>
      <c r="J26">
        <f t="shared" ref="J26:J66" si="2">(E26*2240)+(F26*112)+(G26*28)+H26</f>
        <v>0</v>
      </c>
      <c r="L26">
        <f t="shared" si="1"/>
        <v>0</v>
      </c>
    </row>
    <row r="27" spans="1:12" x14ac:dyDescent="0.25">
      <c r="A27">
        <v>1723</v>
      </c>
      <c r="B27" t="s">
        <v>24</v>
      </c>
      <c r="C27" t="s">
        <v>74</v>
      </c>
      <c r="D27" t="s">
        <v>34</v>
      </c>
      <c r="J27">
        <f t="shared" si="2"/>
        <v>0</v>
      </c>
      <c r="L27">
        <f t="shared" si="1"/>
        <v>0</v>
      </c>
    </row>
    <row r="28" spans="1:12" x14ac:dyDescent="0.25">
      <c r="A28">
        <v>1723</v>
      </c>
      <c r="B28" t="s">
        <v>28</v>
      </c>
      <c r="C28" t="s">
        <v>74</v>
      </c>
      <c r="D28" t="s">
        <v>34</v>
      </c>
      <c r="H28">
        <v>313</v>
      </c>
      <c r="I28" t="s">
        <v>93</v>
      </c>
      <c r="J28">
        <f t="shared" si="2"/>
        <v>313</v>
      </c>
      <c r="L28">
        <f t="shared" ref="L28:L66" si="3">J28/2240</f>
        <v>0.13973214285714286</v>
      </c>
    </row>
    <row r="29" spans="1:12" x14ac:dyDescent="0.25">
      <c r="A29">
        <v>1723</v>
      </c>
      <c r="B29" t="s">
        <v>16</v>
      </c>
      <c r="C29" t="s">
        <v>74</v>
      </c>
      <c r="D29" t="s">
        <v>34</v>
      </c>
      <c r="J29">
        <f t="shared" si="2"/>
        <v>0</v>
      </c>
      <c r="L29">
        <f t="shared" si="3"/>
        <v>0</v>
      </c>
    </row>
    <row r="30" spans="1:12" x14ac:dyDescent="0.25">
      <c r="A30">
        <v>1723</v>
      </c>
      <c r="B30" t="s">
        <v>43</v>
      </c>
      <c r="C30" t="s">
        <v>74</v>
      </c>
      <c r="D30" t="s">
        <v>34</v>
      </c>
      <c r="J30">
        <f t="shared" si="2"/>
        <v>0</v>
      </c>
      <c r="L30">
        <f t="shared" si="3"/>
        <v>0</v>
      </c>
    </row>
    <row r="31" spans="1:12" x14ac:dyDescent="0.25">
      <c r="A31">
        <v>1723</v>
      </c>
      <c r="B31" t="s">
        <v>48</v>
      </c>
      <c r="C31" t="s">
        <v>74</v>
      </c>
      <c r="D31" t="s">
        <v>34</v>
      </c>
      <c r="J31">
        <f t="shared" si="2"/>
        <v>0</v>
      </c>
      <c r="L31">
        <f t="shared" si="3"/>
        <v>0</v>
      </c>
    </row>
    <row r="32" spans="1:12" x14ac:dyDescent="0.25">
      <c r="A32">
        <v>1723</v>
      </c>
      <c r="B32" t="s">
        <v>17</v>
      </c>
      <c r="C32" t="s">
        <v>74</v>
      </c>
      <c r="D32" t="s">
        <v>34</v>
      </c>
      <c r="J32">
        <f t="shared" si="2"/>
        <v>0</v>
      </c>
      <c r="L32">
        <f t="shared" si="3"/>
        <v>0</v>
      </c>
    </row>
    <row r="33" spans="1:12" x14ac:dyDescent="0.25">
      <c r="A33">
        <v>1723</v>
      </c>
      <c r="B33" t="s">
        <v>18</v>
      </c>
      <c r="C33" t="s">
        <v>74</v>
      </c>
      <c r="D33" t="s">
        <v>34</v>
      </c>
      <c r="J33">
        <f t="shared" si="2"/>
        <v>0</v>
      </c>
      <c r="L33">
        <f t="shared" si="3"/>
        <v>0</v>
      </c>
    </row>
    <row r="34" spans="1:12" x14ac:dyDescent="0.25">
      <c r="A34">
        <v>1723</v>
      </c>
      <c r="B34" t="s">
        <v>19</v>
      </c>
      <c r="C34" t="s">
        <v>74</v>
      </c>
      <c r="D34" t="s">
        <v>34</v>
      </c>
      <c r="H34">
        <v>7418</v>
      </c>
      <c r="I34" t="s">
        <v>95</v>
      </c>
      <c r="J34">
        <f t="shared" si="2"/>
        <v>7418</v>
      </c>
      <c r="L34">
        <f t="shared" si="3"/>
        <v>3.311607142857143</v>
      </c>
    </row>
    <row r="35" spans="1:12" x14ac:dyDescent="0.25">
      <c r="A35">
        <v>1723</v>
      </c>
      <c r="B35" t="s">
        <v>71</v>
      </c>
      <c r="C35" t="s">
        <v>74</v>
      </c>
      <c r="D35" t="s">
        <v>34</v>
      </c>
      <c r="J35">
        <f t="shared" si="2"/>
        <v>0</v>
      </c>
      <c r="L35">
        <f t="shared" si="3"/>
        <v>0</v>
      </c>
    </row>
    <row r="36" spans="1:12" x14ac:dyDescent="0.25">
      <c r="A36">
        <v>1723</v>
      </c>
      <c r="B36" t="s">
        <v>20</v>
      </c>
      <c r="C36" t="s">
        <v>74</v>
      </c>
      <c r="D36" t="s">
        <v>34</v>
      </c>
      <c r="F36">
        <v>20</v>
      </c>
      <c r="G36">
        <v>1</v>
      </c>
      <c r="H36">
        <v>10</v>
      </c>
      <c r="J36">
        <f t="shared" si="2"/>
        <v>2278</v>
      </c>
      <c r="L36">
        <f t="shared" si="3"/>
        <v>1.0169642857142858</v>
      </c>
    </row>
    <row r="37" spans="1:12" x14ac:dyDescent="0.25">
      <c r="A37">
        <v>1723</v>
      </c>
      <c r="B37" t="s">
        <v>46</v>
      </c>
      <c r="C37" t="s">
        <v>74</v>
      </c>
      <c r="D37" t="s">
        <v>34</v>
      </c>
      <c r="J37">
        <f t="shared" si="2"/>
        <v>0</v>
      </c>
      <c r="L37">
        <f t="shared" si="3"/>
        <v>0</v>
      </c>
    </row>
    <row r="38" spans="1:12" x14ac:dyDescent="0.25">
      <c r="A38">
        <v>1723</v>
      </c>
      <c r="B38" t="s">
        <v>55</v>
      </c>
      <c r="C38" t="s">
        <v>74</v>
      </c>
      <c r="D38" t="s">
        <v>34</v>
      </c>
      <c r="H38">
        <v>8</v>
      </c>
      <c r="J38">
        <f t="shared" si="2"/>
        <v>8</v>
      </c>
      <c r="L38">
        <f t="shared" si="3"/>
        <v>3.5714285714285713E-3</v>
      </c>
    </row>
    <row r="39" spans="1:12" x14ac:dyDescent="0.25">
      <c r="A39">
        <v>1723</v>
      </c>
      <c r="B39" t="s">
        <v>21</v>
      </c>
      <c r="C39" t="s">
        <v>74</v>
      </c>
      <c r="D39" t="s">
        <v>34</v>
      </c>
      <c r="J39">
        <f t="shared" si="2"/>
        <v>0</v>
      </c>
      <c r="L39">
        <f t="shared" si="3"/>
        <v>0</v>
      </c>
    </row>
    <row r="40" spans="1:12" x14ac:dyDescent="0.25">
      <c r="A40">
        <v>1723</v>
      </c>
      <c r="B40" t="s">
        <v>22</v>
      </c>
      <c r="C40" t="s">
        <v>74</v>
      </c>
      <c r="D40" t="s">
        <v>34</v>
      </c>
      <c r="J40">
        <f t="shared" si="2"/>
        <v>0</v>
      </c>
      <c r="L40">
        <f t="shared" si="3"/>
        <v>0</v>
      </c>
    </row>
    <row r="41" spans="1:12" x14ac:dyDescent="0.25">
      <c r="A41">
        <v>1723</v>
      </c>
      <c r="B41" t="s">
        <v>23</v>
      </c>
      <c r="C41" t="s">
        <v>74</v>
      </c>
      <c r="D41" t="s">
        <v>34</v>
      </c>
      <c r="J41">
        <f t="shared" si="2"/>
        <v>0</v>
      </c>
      <c r="L41">
        <f t="shared" si="3"/>
        <v>0</v>
      </c>
    </row>
    <row r="42" spans="1:12" x14ac:dyDescent="0.25">
      <c r="A42">
        <v>1723</v>
      </c>
      <c r="B42" t="s">
        <v>62</v>
      </c>
      <c r="C42" t="s">
        <v>74</v>
      </c>
      <c r="D42" t="s">
        <v>34</v>
      </c>
      <c r="J42">
        <f t="shared" si="2"/>
        <v>0</v>
      </c>
      <c r="L42">
        <f t="shared" si="3"/>
        <v>0</v>
      </c>
    </row>
    <row r="43" spans="1:12" x14ac:dyDescent="0.25">
      <c r="A43">
        <v>1723</v>
      </c>
      <c r="B43" t="s">
        <v>63</v>
      </c>
      <c r="C43" t="s">
        <v>74</v>
      </c>
      <c r="D43" t="s">
        <v>34</v>
      </c>
      <c r="J43">
        <f t="shared" si="2"/>
        <v>0</v>
      </c>
      <c r="L43">
        <f t="shared" si="3"/>
        <v>0</v>
      </c>
    </row>
    <row r="44" spans="1:12" x14ac:dyDescent="0.25">
      <c r="A44">
        <v>1723</v>
      </c>
      <c r="B44" t="s">
        <v>64</v>
      </c>
      <c r="C44" t="s">
        <v>74</v>
      </c>
      <c r="D44" t="s">
        <v>34</v>
      </c>
      <c r="J44">
        <f t="shared" si="2"/>
        <v>0</v>
      </c>
      <c r="L44">
        <f t="shared" si="3"/>
        <v>0</v>
      </c>
    </row>
    <row r="45" spans="1:12" x14ac:dyDescent="0.25">
      <c r="A45">
        <v>1723</v>
      </c>
      <c r="B45" t="s">
        <v>72</v>
      </c>
      <c r="C45" t="s">
        <v>74</v>
      </c>
      <c r="D45" t="s">
        <v>34</v>
      </c>
      <c r="J45">
        <f t="shared" si="2"/>
        <v>0</v>
      </c>
      <c r="L45">
        <f t="shared" si="3"/>
        <v>0</v>
      </c>
    </row>
    <row r="46" spans="1:12" x14ac:dyDescent="0.25">
      <c r="A46">
        <v>1723</v>
      </c>
      <c r="B46" t="s">
        <v>65</v>
      </c>
      <c r="C46" t="s">
        <v>74</v>
      </c>
      <c r="D46" t="s">
        <v>34</v>
      </c>
      <c r="J46">
        <f t="shared" si="2"/>
        <v>0</v>
      </c>
      <c r="L46">
        <f t="shared" si="3"/>
        <v>0</v>
      </c>
    </row>
    <row r="47" spans="1:12" x14ac:dyDescent="0.25">
      <c r="A47">
        <v>1723</v>
      </c>
      <c r="B47" t="s">
        <v>66</v>
      </c>
      <c r="C47" t="s">
        <v>74</v>
      </c>
      <c r="D47" t="s">
        <v>34</v>
      </c>
      <c r="J47">
        <f t="shared" si="2"/>
        <v>0</v>
      </c>
      <c r="L47">
        <f t="shared" si="3"/>
        <v>0</v>
      </c>
    </row>
    <row r="48" spans="1:12" x14ac:dyDescent="0.25">
      <c r="A48">
        <v>1723</v>
      </c>
      <c r="B48" t="s">
        <v>6</v>
      </c>
      <c r="C48" t="s">
        <v>74</v>
      </c>
      <c r="D48" t="s">
        <v>36</v>
      </c>
      <c r="F48">
        <v>5961</v>
      </c>
      <c r="G48">
        <v>2</v>
      </c>
      <c r="J48">
        <f t="shared" si="2"/>
        <v>667688</v>
      </c>
      <c r="L48">
        <f t="shared" si="3"/>
        <v>298.07499999999999</v>
      </c>
    </row>
    <row r="49" spans="1:12" x14ac:dyDescent="0.25">
      <c r="A49">
        <v>1723</v>
      </c>
      <c r="B49" t="s">
        <v>8</v>
      </c>
      <c r="C49" t="s">
        <v>74</v>
      </c>
      <c r="D49" t="s">
        <v>36</v>
      </c>
      <c r="J49">
        <f t="shared" si="2"/>
        <v>0</v>
      </c>
      <c r="L49">
        <f t="shared" si="3"/>
        <v>0</v>
      </c>
    </row>
    <row r="50" spans="1:12" x14ac:dyDescent="0.25">
      <c r="A50">
        <v>1723</v>
      </c>
      <c r="B50" t="s">
        <v>9</v>
      </c>
      <c r="C50" t="s">
        <v>74</v>
      </c>
      <c r="D50" t="s">
        <v>36</v>
      </c>
      <c r="J50">
        <f t="shared" si="2"/>
        <v>0</v>
      </c>
      <c r="L50">
        <f t="shared" si="3"/>
        <v>0</v>
      </c>
    </row>
    <row r="51" spans="1:12" x14ac:dyDescent="0.25">
      <c r="A51">
        <v>1723</v>
      </c>
      <c r="B51" t="s">
        <v>10</v>
      </c>
      <c r="C51" t="s">
        <v>74</v>
      </c>
      <c r="D51" t="s">
        <v>36</v>
      </c>
      <c r="F51">
        <v>57</v>
      </c>
      <c r="G51">
        <v>2</v>
      </c>
      <c r="H51">
        <v>11</v>
      </c>
      <c r="J51">
        <f t="shared" si="2"/>
        <v>6451</v>
      </c>
      <c r="L51">
        <f t="shared" si="3"/>
        <v>2.8799107142857143</v>
      </c>
    </row>
    <row r="52" spans="1:12" x14ac:dyDescent="0.25">
      <c r="A52">
        <v>1723</v>
      </c>
      <c r="B52" t="s">
        <v>11</v>
      </c>
      <c r="C52" t="s">
        <v>74</v>
      </c>
      <c r="D52" t="s">
        <v>36</v>
      </c>
      <c r="J52">
        <f t="shared" si="2"/>
        <v>0</v>
      </c>
      <c r="L52">
        <f t="shared" si="3"/>
        <v>0</v>
      </c>
    </row>
    <row r="53" spans="1:12" x14ac:dyDescent="0.25">
      <c r="A53">
        <v>1723</v>
      </c>
      <c r="B53" t="s">
        <v>12</v>
      </c>
      <c r="C53" t="s">
        <v>74</v>
      </c>
      <c r="D53" t="s">
        <v>36</v>
      </c>
      <c r="F53">
        <v>22</v>
      </c>
      <c r="H53">
        <v>26</v>
      </c>
      <c r="J53">
        <f t="shared" si="2"/>
        <v>2490</v>
      </c>
      <c r="L53">
        <f t="shared" si="3"/>
        <v>1.1116071428571428</v>
      </c>
    </row>
    <row r="54" spans="1:12" x14ac:dyDescent="0.25">
      <c r="A54">
        <v>1723</v>
      </c>
      <c r="B54" t="s">
        <v>13</v>
      </c>
      <c r="C54" t="s">
        <v>74</v>
      </c>
      <c r="D54" t="s">
        <v>36</v>
      </c>
      <c r="H54">
        <v>1423</v>
      </c>
      <c r="J54">
        <f t="shared" si="2"/>
        <v>1423</v>
      </c>
      <c r="L54">
        <f t="shared" si="3"/>
        <v>0.63526785714285716</v>
      </c>
    </row>
    <row r="55" spans="1:12" x14ac:dyDescent="0.25">
      <c r="A55">
        <v>1723</v>
      </c>
      <c r="B55" t="s">
        <v>14</v>
      </c>
      <c r="C55" t="s">
        <v>74</v>
      </c>
      <c r="D55" t="s">
        <v>36</v>
      </c>
      <c r="J55">
        <f t="shared" si="2"/>
        <v>0</v>
      </c>
      <c r="L55">
        <f t="shared" si="3"/>
        <v>0</v>
      </c>
    </row>
    <row r="56" spans="1:12" x14ac:dyDescent="0.25">
      <c r="A56">
        <v>1723</v>
      </c>
      <c r="B56" t="s">
        <v>15</v>
      </c>
      <c r="C56" t="s">
        <v>74</v>
      </c>
      <c r="D56" t="s">
        <v>36</v>
      </c>
      <c r="H56">
        <v>606</v>
      </c>
      <c r="I56" t="s">
        <v>76</v>
      </c>
      <c r="J56">
        <f t="shared" si="2"/>
        <v>606</v>
      </c>
      <c r="L56">
        <f t="shared" si="3"/>
        <v>0.27053571428571427</v>
      </c>
    </row>
    <row r="57" spans="1:12" x14ac:dyDescent="0.25">
      <c r="A57">
        <v>1723</v>
      </c>
      <c r="B57" t="s">
        <v>28</v>
      </c>
      <c r="C57" t="s">
        <v>74</v>
      </c>
      <c r="D57" t="s">
        <v>36</v>
      </c>
      <c r="J57">
        <f t="shared" si="2"/>
        <v>0</v>
      </c>
      <c r="L57">
        <f t="shared" si="3"/>
        <v>0</v>
      </c>
    </row>
    <row r="58" spans="1:12" x14ac:dyDescent="0.25">
      <c r="A58">
        <v>1723</v>
      </c>
      <c r="B58" t="s">
        <v>16</v>
      </c>
      <c r="C58" t="s">
        <v>74</v>
      </c>
      <c r="D58" t="s">
        <v>36</v>
      </c>
      <c r="J58">
        <f t="shared" si="2"/>
        <v>0</v>
      </c>
      <c r="L58">
        <f t="shared" si="3"/>
        <v>0</v>
      </c>
    </row>
    <row r="59" spans="1:12" x14ac:dyDescent="0.25">
      <c r="A59">
        <v>1723</v>
      </c>
      <c r="B59" t="s">
        <v>17</v>
      </c>
      <c r="C59" t="s">
        <v>74</v>
      </c>
      <c r="D59" t="s">
        <v>36</v>
      </c>
      <c r="H59">
        <v>456</v>
      </c>
      <c r="J59">
        <f t="shared" si="2"/>
        <v>456</v>
      </c>
      <c r="L59">
        <f t="shared" si="3"/>
        <v>0.20357142857142857</v>
      </c>
    </row>
    <row r="60" spans="1:12" x14ac:dyDescent="0.25">
      <c r="A60">
        <v>1723</v>
      </c>
      <c r="B60" t="s">
        <v>18</v>
      </c>
      <c r="C60" t="s">
        <v>74</v>
      </c>
      <c r="D60" t="s">
        <v>36</v>
      </c>
      <c r="J60">
        <f t="shared" si="2"/>
        <v>0</v>
      </c>
      <c r="L60">
        <f t="shared" si="3"/>
        <v>0</v>
      </c>
    </row>
    <row r="61" spans="1:12" x14ac:dyDescent="0.25">
      <c r="A61">
        <v>1723</v>
      </c>
      <c r="B61" t="s">
        <v>19</v>
      </c>
      <c r="C61" t="s">
        <v>74</v>
      </c>
      <c r="D61" t="s">
        <v>36</v>
      </c>
      <c r="H61">
        <v>18257</v>
      </c>
      <c r="I61" t="s">
        <v>112</v>
      </c>
      <c r="J61">
        <f t="shared" si="2"/>
        <v>18257</v>
      </c>
      <c r="L61">
        <f t="shared" si="3"/>
        <v>8.1504464285714278</v>
      </c>
    </row>
    <row r="62" spans="1:12" x14ac:dyDescent="0.25">
      <c r="A62">
        <v>1723</v>
      </c>
      <c r="B62" t="s">
        <v>20</v>
      </c>
      <c r="C62" t="s">
        <v>74</v>
      </c>
      <c r="D62" t="s">
        <v>36</v>
      </c>
      <c r="J62">
        <f t="shared" si="2"/>
        <v>0</v>
      </c>
      <c r="L62">
        <f t="shared" si="3"/>
        <v>0</v>
      </c>
    </row>
    <row r="63" spans="1:12" x14ac:dyDescent="0.25">
      <c r="A63">
        <v>1723</v>
      </c>
      <c r="B63" t="s">
        <v>55</v>
      </c>
      <c r="C63" t="s">
        <v>74</v>
      </c>
      <c r="D63" t="s">
        <v>36</v>
      </c>
      <c r="J63">
        <f t="shared" si="2"/>
        <v>0</v>
      </c>
      <c r="L63">
        <f t="shared" si="3"/>
        <v>0</v>
      </c>
    </row>
    <row r="64" spans="1:12" x14ac:dyDescent="0.25">
      <c r="A64">
        <v>1723</v>
      </c>
      <c r="B64" t="s">
        <v>22</v>
      </c>
      <c r="C64" t="s">
        <v>74</v>
      </c>
      <c r="D64" t="s">
        <v>36</v>
      </c>
      <c r="J64">
        <f t="shared" si="2"/>
        <v>0</v>
      </c>
      <c r="L64">
        <f t="shared" si="3"/>
        <v>0</v>
      </c>
    </row>
    <row r="65" spans="1:12" x14ac:dyDescent="0.25">
      <c r="A65">
        <v>1723</v>
      </c>
      <c r="B65" t="s">
        <v>23</v>
      </c>
      <c r="C65" t="s">
        <v>74</v>
      </c>
      <c r="D65" t="s">
        <v>36</v>
      </c>
      <c r="J65">
        <f t="shared" si="2"/>
        <v>0</v>
      </c>
      <c r="L65">
        <f t="shared" si="3"/>
        <v>0</v>
      </c>
    </row>
    <row r="66" spans="1:12" x14ac:dyDescent="0.25">
      <c r="A66">
        <v>1723</v>
      </c>
      <c r="B66" t="s">
        <v>65</v>
      </c>
      <c r="C66" t="s">
        <v>74</v>
      </c>
      <c r="D66" t="s">
        <v>36</v>
      </c>
      <c r="F66">
        <v>22</v>
      </c>
      <c r="G66">
        <v>1</v>
      </c>
      <c r="H66">
        <v>20</v>
      </c>
      <c r="J66">
        <f t="shared" si="2"/>
        <v>2512</v>
      </c>
      <c r="L66">
        <f t="shared" si="3"/>
        <v>1.1214285714285714</v>
      </c>
    </row>
    <row r="67" spans="1:12" x14ac:dyDescent="0.25">
      <c r="J67">
        <f t="shared" ref="J67" si="4">(E67*2240)+(F67*112)+(G67*28)+H67</f>
        <v>0</v>
      </c>
      <c r="L67">
        <f t="shared" ref="L67" si="5">J67/2240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L66"/>
  <sheetViews>
    <sheetView topLeftCell="A16" workbookViewId="0">
      <selection activeCell="H19" sqref="H1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29</v>
      </c>
      <c r="F1" s="1" t="s">
        <v>30</v>
      </c>
      <c r="G1" s="1" t="s">
        <v>31</v>
      </c>
      <c r="H1" s="1" t="s">
        <v>32</v>
      </c>
      <c r="I1" s="1"/>
      <c r="J1" s="1" t="s">
        <v>33</v>
      </c>
      <c r="K1" s="1"/>
      <c r="L1" s="1" t="s">
        <v>53</v>
      </c>
    </row>
    <row r="2" spans="1:12" x14ac:dyDescent="0.25">
      <c r="A2">
        <v>1723</v>
      </c>
      <c r="B2" t="s">
        <v>56</v>
      </c>
      <c r="C2" t="s">
        <v>75</v>
      </c>
      <c r="D2" t="s">
        <v>34</v>
      </c>
      <c r="J2">
        <f>(E2*2240)+(F2*112)+(G2*28)+H2</f>
        <v>0</v>
      </c>
      <c r="L2">
        <f>J2/2240</f>
        <v>0</v>
      </c>
    </row>
    <row r="3" spans="1:12" x14ac:dyDescent="0.25">
      <c r="A3">
        <v>1723</v>
      </c>
      <c r="B3" t="s">
        <v>58</v>
      </c>
      <c r="C3" t="s">
        <v>75</v>
      </c>
      <c r="D3" t="s">
        <v>34</v>
      </c>
      <c r="J3">
        <f>(E3*2240)+(F3*112)+(G3*28)+H3</f>
        <v>0</v>
      </c>
      <c r="L3">
        <f>J3/2240</f>
        <v>0</v>
      </c>
    </row>
    <row r="4" spans="1:12" x14ac:dyDescent="0.25">
      <c r="A4">
        <v>1723</v>
      </c>
      <c r="B4" t="s">
        <v>38</v>
      </c>
      <c r="C4" t="s">
        <v>75</v>
      </c>
      <c r="D4" t="s">
        <v>34</v>
      </c>
      <c r="J4">
        <f>(E4*2240)+(F4*112)+(G4*28)+H4</f>
        <v>0</v>
      </c>
      <c r="L4">
        <f>J4/2240</f>
        <v>0</v>
      </c>
    </row>
    <row r="5" spans="1:12" x14ac:dyDescent="0.25">
      <c r="A5">
        <v>1723</v>
      </c>
      <c r="B5" t="s">
        <v>4</v>
      </c>
      <c r="C5" t="s">
        <v>75</v>
      </c>
      <c r="D5" t="s">
        <v>34</v>
      </c>
      <c r="J5">
        <f>(E5*2240)+(F5*112)+(G5*28)+H5</f>
        <v>0</v>
      </c>
      <c r="L5">
        <f>J5/2240</f>
        <v>0</v>
      </c>
    </row>
    <row r="6" spans="1:12" x14ac:dyDescent="0.25">
      <c r="A6">
        <v>1723</v>
      </c>
      <c r="B6" t="s">
        <v>59</v>
      </c>
      <c r="C6" t="s">
        <v>75</v>
      </c>
      <c r="D6" t="s">
        <v>34</v>
      </c>
      <c r="J6">
        <f>(E6*2240)+(F6*112)+(G6*28)+H6</f>
        <v>0</v>
      </c>
      <c r="L6">
        <f>J6/2240</f>
        <v>0</v>
      </c>
    </row>
    <row r="7" spans="1:12" x14ac:dyDescent="0.25">
      <c r="A7">
        <v>1723</v>
      </c>
      <c r="B7" t="s">
        <v>70</v>
      </c>
      <c r="C7" t="s">
        <v>75</v>
      </c>
      <c r="D7" t="s">
        <v>34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1723</v>
      </c>
      <c r="B8" t="s">
        <v>44</v>
      </c>
      <c r="C8" t="s">
        <v>75</v>
      </c>
      <c r="D8" t="s">
        <v>34</v>
      </c>
      <c r="J8">
        <f t="shared" si="0"/>
        <v>0</v>
      </c>
      <c r="L8">
        <f t="shared" si="1"/>
        <v>0</v>
      </c>
    </row>
    <row r="9" spans="1:12" x14ac:dyDescent="0.25">
      <c r="A9">
        <v>1723</v>
      </c>
      <c r="B9" t="s">
        <v>5</v>
      </c>
      <c r="C9" t="s">
        <v>75</v>
      </c>
      <c r="D9" t="s">
        <v>34</v>
      </c>
      <c r="J9">
        <f t="shared" si="0"/>
        <v>0</v>
      </c>
      <c r="L9">
        <f t="shared" si="1"/>
        <v>0</v>
      </c>
    </row>
    <row r="10" spans="1:12" x14ac:dyDescent="0.25">
      <c r="A10">
        <v>1723</v>
      </c>
      <c r="B10" t="s">
        <v>60</v>
      </c>
      <c r="C10" t="s">
        <v>75</v>
      </c>
      <c r="D10" t="s">
        <v>34</v>
      </c>
      <c r="J10">
        <f t="shared" si="0"/>
        <v>0</v>
      </c>
      <c r="L10">
        <f t="shared" si="1"/>
        <v>0</v>
      </c>
    </row>
    <row r="11" spans="1:12" x14ac:dyDescent="0.25">
      <c r="A11">
        <v>1723</v>
      </c>
      <c r="B11" t="s">
        <v>6</v>
      </c>
      <c r="C11" t="s">
        <v>75</v>
      </c>
      <c r="D11" t="s">
        <v>34</v>
      </c>
      <c r="F11">
        <v>45219</v>
      </c>
      <c r="G11">
        <v>1</v>
      </c>
      <c r="H11">
        <v>3</v>
      </c>
      <c r="J11">
        <f t="shared" si="0"/>
        <v>5064559</v>
      </c>
      <c r="L11">
        <f t="shared" si="1"/>
        <v>2260.9638392857141</v>
      </c>
    </row>
    <row r="12" spans="1:12" x14ac:dyDescent="0.25">
      <c r="A12">
        <v>1723</v>
      </c>
      <c r="B12" t="s">
        <v>61</v>
      </c>
      <c r="C12" t="s">
        <v>75</v>
      </c>
      <c r="D12" t="s">
        <v>34</v>
      </c>
      <c r="J12">
        <f t="shared" si="0"/>
        <v>0</v>
      </c>
      <c r="L12">
        <f t="shared" si="1"/>
        <v>0</v>
      </c>
    </row>
    <row r="13" spans="1:12" x14ac:dyDescent="0.25">
      <c r="A13">
        <v>1723</v>
      </c>
      <c r="B13" t="s">
        <v>40</v>
      </c>
      <c r="C13" t="s">
        <v>75</v>
      </c>
      <c r="D13" t="s">
        <v>34</v>
      </c>
      <c r="J13">
        <f t="shared" si="0"/>
        <v>0</v>
      </c>
      <c r="L13">
        <f t="shared" si="1"/>
        <v>0</v>
      </c>
    </row>
    <row r="14" spans="1:12" x14ac:dyDescent="0.25">
      <c r="A14">
        <v>1723</v>
      </c>
      <c r="B14" t="s">
        <v>39</v>
      </c>
      <c r="C14" t="s">
        <v>75</v>
      </c>
      <c r="D14" t="s">
        <v>34</v>
      </c>
      <c r="J14">
        <f t="shared" si="0"/>
        <v>0</v>
      </c>
      <c r="L14">
        <f t="shared" si="1"/>
        <v>0</v>
      </c>
    </row>
    <row r="15" spans="1:12" x14ac:dyDescent="0.25">
      <c r="A15">
        <v>1723</v>
      </c>
      <c r="B15" t="s">
        <v>9</v>
      </c>
      <c r="C15" t="s">
        <v>75</v>
      </c>
      <c r="D15" t="s">
        <v>34</v>
      </c>
      <c r="F15">
        <v>1</v>
      </c>
      <c r="G15">
        <v>1</v>
      </c>
      <c r="J15">
        <f t="shared" si="0"/>
        <v>140</v>
      </c>
      <c r="L15">
        <f t="shared" si="1"/>
        <v>6.25E-2</v>
      </c>
    </row>
    <row r="16" spans="1:12" x14ac:dyDescent="0.25">
      <c r="A16">
        <v>1723</v>
      </c>
      <c r="B16" t="s">
        <v>42</v>
      </c>
      <c r="C16" t="s">
        <v>75</v>
      </c>
      <c r="D16" t="s">
        <v>34</v>
      </c>
      <c r="J16">
        <f t="shared" si="0"/>
        <v>0</v>
      </c>
      <c r="L16">
        <f t="shared" si="1"/>
        <v>0</v>
      </c>
    </row>
    <row r="17" spans="1:12" x14ac:dyDescent="0.25">
      <c r="A17">
        <v>1723</v>
      </c>
      <c r="B17" t="s">
        <v>47</v>
      </c>
      <c r="C17" t="s">
        <v>75</v>
      </c>
      <c r="D17" t="s">
        <v>34</v>
      </c>
      <c r="J17">
        <f t="shared" si="0"/>
        <v>0</v>
      </c>
      <c r="L17">
        <f t="shared" si="1"/>
        <v>0</v>
      </c>
    </row>
    <row r="18" spans="1:12" x14ac:dyDescent="0.25">
      <c r="A18">
        <v>1723</v>
      </c>
      <c r="B18" t="s">
        <v>10</v>
      </c>
      <c r="C18" t="s">
        <v>75</v>
      </c>
      <c r="D18" t="s">
        <v>34</v>
      </c>
      <c r="H18">
        <f>6*200</f>
        <v>1200</v>
      </c>
      <c r="I18" t="s">
        <v>97</v>
      </c>
      <c r="J18">
        <f t="shared" si="0"/>
        <v>1200</v>
      </c>
      <c r="L18">
        <f t="shared" si="1"/>
        <v>0.5357142857142857</v>
      </c>
    </row>
    <row r="19" spans="1:12" x14ac:dyDescent="0.25">
      <c r="A19">
        <v>1723</v>
      </c>
      <c r="B19" t="s">
        <v>11</v>
      </c>
      <c r="C19" t="s">
        <v>75</v>
      </c>
      <c r="D19" t="s">
        <v>34</v>
      </c>
      <c r="J19">
        <f t="shared" si="0"/>
        <v>0</v>
      </c>
      <c r="L19">
        <f t="shared" si="1"/>
        <v>0</v>
      </c>
    </row>
    <row r="20" spans="1:12" x14ac:dyDescent="0.25">
      <c r="A20">
        <v>1723</v>
      </c>
      <c r="B20" t="s">
        <v>12</v>
      </c>
      <c r="C20" t="s">
        <v>75</v>
      </c>
      <c r="D20" t="s">
        <v>34</v>
      </c>
      <c r="F20">
        <v>3</v>
      </c>
      <c r="J20">
        <f t="shared" si="0"/>
        <v>336</v>
      </c>
      <c r="L20">
        <f t="shared" si="1"/>
        <v>0.15</v>
      </c>
    </row>
    <row r="21" spans="1:12" x14ac:dyDescent="0.25">
      <c r="A21">
        <v>1723</v>
      </c>
      <c r="B21" t="s">
        <v>41</v>
      </c>
      <c r="C21" t="s">
        <v>75</v>
      </c>
      <c r="D21" t="s">
        <v>34</v>
      </c>
      <c r="J21">
        <f t="shared" si="0"/>
        <v>0</v>
      </c>
      <c r="L21">
        <f t="shared" si="1"/>
        <v>0</v>
      </c>
    </row>
    <row r="22" spans="1:12" x14ac:dyDescent="0.25">
      <c r="A22">
        <v>1723</v>
      </c>
      <c r="B22" t="s">
        <v>45</v>
      </c>
      <c r="C22" t="s">
        <v>75</v>
      </c>
      <c r="D22" t="s">
        <v>34</v>
      </c>
      <c r="J22">
        <f t="shared" si="0"/>
        <v>0</v>
      </c>
      <c r="L22">
        <f t="shared" si="1"/>
        <v>0</v>
      </c>
    </row>
    <row r="23" spans="1:12" x14ac:dyDescent="0.25">
      <c r="A23">
        <v>1723</v>
      </c>
      <c r="B23" t="s">
        <v>13</v>
      </c>
      <c r="C23" t="s">
        <v>75</v>
      </c>
      <c r="D23" t="s">
        <v>34</v>
      </c>
      <c r="J23">
        <f t="shared" si="0"/>
        <v>0</v>
      </c>
      <c r="L23">
        <f t="shared" si="1"/>
        <v>0</v>
      </c>
    </row>
    <row r="24" spans="1:12" x14ac:dyDescent="0.25">
      <c r="A24">
        <v>1723</v>
      </c>
      <c r="B24" t="s">
        <v>35</v>
      </c>
      <c r="C24" t="s">
        <v>75</v>
      </c>
      <c r="D24" t="s">
        <v>34</v>
      </c>
      <c r="J24">
        <f t="shared" si="0"/>
        <v>0</v>
      </c>
      <c r="L24">
        <f t="shared" si="1"/>
        <v>0</v>
      </c>
    </row>
    <row r="25" spans="1:12" x14ac:dyDescent="0.25">
      <c r="A25">
        <v>1723</v>
      </c>
      <c r="B25" t="s">
        <v>14</v>
      </c>
      <c r="C25" t="s">
        <v>75</v>
      </c>
      <c r="D25" t="s">
        <v>34</v>
      </c>
      <c r="J25">
        <f t="shared" si="0"/>
        <v>0</v>
      </c>
      <c r="L25">
        <f t="shared" si="1"/>
        <v>0</v>
      </c>
    </row>
    <row r="26" spans="1:12" x14ac:dyDescent="0.25">
      <c r="A26">
        <v>1723</v>
      </c>
      <c r="B26" t="s">
        <v>15</v>
      </c>
      <c r="C26" t="s">
        <v>75</v>
      </c>
      <c r="D26" t="s">
        <v>34</v>
      </c>
      <c r="H26">
        <v>252</v>
      </c>
      <c r="I26" t="s">
        <v>98</v>
      </c>
      <c r="J26">
        <f t="shared" ref="J26:J65" si="2">(E26*2240)+(F26*112)+(G26*28)+H26</f>
        <v>252</v>
      </c>
      <c r="L26">
        <f t="shared" si="1"/>
        <v>0.1125</v>
      </c>
    </row>
    <row r="27" spans="1:12" x14ac:dyDescent="0.25">
      <c r="A27">
        <v>1723</v>
      </c>
      <c r="B27" t="s">
        <v>24</v>
      </c>
      <c r="C27" t="s">
        <v>75</v>
      </c>
      <c r="D27" t="s">
        <v>34</v>
      </c>
      <c r="J27">
        <f t="shared" si="2"/>
        <v>0</v>
      </c>
      <c r="L27">
        <f t="shared" si="1"/>
        <v>0</v>
      </c>
    </row>
    <row r="28" spans="1:12" x14ac:dyDescent="0.25">
      <c r="A28">
        <v>1723</v>
      </c>
      <c r="B28" t="s">
        <v>28</v>
      </c>
      <c r="C28" t="s">
        <v>75</v>
      </c>
      <c r="D28" t="s">
        <v>34</v>
      </c>
      <c r="H28">
        <v>7771</v>
      </c>
      <c r="I28" t="s">
        <v>96</v>
      </c>
      <c r="J28">
        <f t="shared" si="2"/>
        <v>7771</v>
      </c>
      <c r="L28">
        <f t="shared" ref="L28:L65" si="3">J28/2240</f>
        <v>3.4691964285714287</v>
      </c>
    </row>
    <row r="29" spans="1:12" x14ac:dyDescent="0.25">
      <c r="A29">
        <v>1723</v>
      </c>
      <c r="B29" t="s">
        <v>16</v>
      </c>
      <c r="C29" t="s">
        <v>75</v>
      </c>
      <c r="D29" t="s">
        <v>34</v>
      </c>
      <c r="J29">
        <f t="shared" si="2"/>
        <v>0</v>
      </c>
      <c r="L29">
        <f t="shared" si="3"/>
        <v>0</v>
      </c>
    </row>
    <row r="30" spans="1:12" x14ac:dyDescent="0.25">
      <c r="A30">
        <v>1723</v>
      </c>
      <c r="B30" t="s">
        <v>43</v>
      </c>
      <c r="C30" t="s">
        <v>75</v>
      </c>
      <c r="D30" t="s">
        <v>34</v>
      </c>
      <c r="J30">
        <f t="shared" si="2"/>
        <v>0</v>
      </c>
      <c r="L30">
        <f t="shared" si="3"/>
        <v>0</v>
      </c>
    </row>
    <row r="31" spans="1:12" x14ac:dyDescent="0.25">
      <c r="A31">
        <v>1723</v>
      </c>
      <c r="B31" t="s">
        <v>48</v>
      </c>
      <c r="C31" t="s">
        <v>75</v>
      </c>
      <c r="D31" t="s">
        <v>34</v>
      </c>
      <c r="J31">
        <f t="shared" si="2"/>
        <v>0</v>
      </c>
      <c r="L31">
        <f t="shared" si="3"/>
        <v>0</v>
      </c>
    </row>
    <row r="32" spans="1:12" x14ac:dyDescent="0.25">
      <c r="A32">
        <v>1723</v>
      </c>
      <c r="B32" t="s">
        <v>17</v>
      </c>
      <c r="C32" t="s">
        <v>75</v>
      </c>
      <c r="D32" t="s">
        <v>34</v>
      </c>
      <c r="J32">
        <f t="shared" si="2"/>
        <v>0</v>
      </c>
      <c r="L32">
        <f t="shared" si="3"/>
        <v>0</v>
      </c>
    </row>
    <row r="33" spans="1:12" x14ac:dyDescent="0.25">
      <c r="A33">
        <v>1723</v>
      </c>
      <c r="B33" t="s">
        <v>18</v>
      </c>
      <c r="C33" t="s">
        <v>75</v>
      </c>
      <c r="D33" t="s">
        <v>34</v>
      </c>
      <c r="J33">
        <f t="shared" si="2"/>
        <v>0</v>
      </c>
      <c r="L33">
        <f t="shared" si="3"/>
        <v>0</v>
      </c>
    </row>
    <row r="34" spans="1:12" x14ac:dyDescent="0.25">
      <c r="A34">
        <v>1723</v>
      </c>
      <c r="B34" t="s">
        <v>19</v>
      </c>
      <c r="C34" t="s">
        <v>75</v>
      </c>
      <c r="D34" t="s">
        <v>34</v>
      </c>
      <c r="H34">
        <v>6015</v>
      </c>
      <c r="I34" t="s">
        <v>99</v>
      </c>
      <c r="J34">
        <f t="shared" si="2"/>
        <v>6015</v>
      </c>
      <c r="L34">
        <f t="shared" si="3"/>
        <v>2.6852678571428572</v>
      </c>
    </row>
    <row r="35" spans="1:12" x14ac:dyDescent="0.25">
      <c r="A35">
        <v>1723</v>
      </c>
      <c r="B35" t="s">
        <v>71</v>
      </c>
      <c r="C35" t="s">
        <v>75</v>
      </c>
      <c r="D35" t="s">
        <v>34</v>
      </c>
      <c r="J35">
        <f t="shared" si="2"/>
        <v>0</v>
      </c>
      <c r="L35">
        <f t="shared" si="3"/>
        <v>0</v>
      </c>
    </row>
    <row r="36" spans="1:12" x14ac:dyDescent="0.25">
      <c r="A36">
        <v>1723</v>
      </c>
      <c r="B36" t="s">
        <v>20</v>
      </c>
      <c r="C36" t="s">
        <v>75</v>
      </c>
      <c r="D36" t="s">
        <v>34</v>
      </c>
      <c r="F36">
        <v>12</v>
      </c>
      <c r="H36">
        <v>7</v>
      </c>
      <c r="J36">
        <f t="shared" si="2"/>
        <v>1351</v>
      </c>
      <c r="L36">
        <f t="shared" si="3"/>
        <v>0.60312500000000002</v>
      </c>
    </row>
    <row r="37" spans="1:12" x14ac:dyDescent="0.25">
      <c r="A37">
        <v>1723</v>
      </c>
      <c r="B37" t="s">
        <v>46</v>
      </c>
      <c r="C37" t="s">
        <v>75</v>
      </c>
      <c r="D37" t="s">
        <v>34</v>
      </c>
      <c r="J37">
        <f t="shared" si="2"/>
        <v>0</v>
      </c>
      <c r="L37">
        <f t="shared" si="3"/>
        <v>0</v>
      </c>
    </row>
    <row r="38" spans="1:12" x14ac:dyDescent="0.25">
      <c r="A38">
        <v>1723</v>
      </c>
      <c r="B38" t="s">
        <v>55</v>
      </c>
      <c r="C38" t="s">
        <v>75</v>
      </c>
      <c r="D38" t="s">
        <v>34</v>
      </c>
      <c r="H38">
        <v>24</v>
      </c>
      <c r="J38">
        <f t="shared" si="2"/>
        <v>24</v>
      </c>
      <c r="L38">
        <f t="shared" si="3"/>
        <v>1.0714285714285714E-2</v>
      </c>
    </row>
    <row r="39" spans="1:12" x14ac:dyDescent="0.25">
      <c r="A39">
        <v>1723</v>
      </c>
      <c r="B39" t="s">
        <v>21</v>
      </c>
      <c r="C39" t="s">
        <v>75</v>
      </c>
      <c r="D39" t="s">
        <v>34</v>
      </c>
      <c r="J39">
        <f t="shared" si="2"/>
        <v>0</v>
      </c>
      <c r="L39">
        <f t="shared" si="3"/>
        <v>0</v>
      </c>
    </row>
    <row r="40" spans="1:12" x14ac:dyDescent="0.25">
      <c r="A40">
        <v>1723</v>
      </c>
      <c r="B40" t="s">
        <v>22</v>
      </c>
      <c r="C40" t="s">
        <v>75</v>
      </c>
      <c r="D40" t="s">
        <v>34</v>
      </c>
      <c r="H40">
        <v>18</v>
      </c>
      <c r="J40">
        <f t="shared" si="2"/>
        <v>18</v>
      </c>
      <c r="L40">
        <f t="shared" si="3"/>
        <v>8.0357142857142849E-3</v>
      </c>
    </row>
    <row r="41" spans="1:12" x14ac:dyDescent="0.25">
      <c r="A41">
        <v>1723</v>
      </c>
      <c r="B41" t="s">
        <v>23</v>
      </c>
      <c r="C41" t="s">
        <v>75</v>
      </c>
      <c r="D41" t="s">
        <v>34</v>
      </c>
      <c r="J41">
        <f t="shared" si="2"/>
        <v>0</v>
      </c>
      <c r="L41">
        <f t="shared" si="3"/>
        <v>0</v>
      </c>
    </row>
    <row r="42" spans="1:12" x14ac:dyDescent="0.25">
      <c r="A42">
        <v>1723</v>
      </c>
      <c r="B42" t="s">
        <v>62</v>
      </c>
      <c r="C42" t="s">
        <v>75</v>
      </c>
      <c r="D42" t="s">
        <v>34</v>
      </c>
      <c r="J42">
        <f t="shared" si="2"/>
        <v>0</v>
      </c>
      <c r="L42">
        <f t="shared" si="3"/>
        <v>0</v>
      </c>
    </row>
    <row r="43" spans="1:12" x14ac:dyDescent="0.25">
      <c r="A43">
        <v>1723</v>
      </c>
      <c r="B43" t="s">
        <v>63</v>
      </c>
      <c r="C43" t="s">
        <v>75</v>
      </c>
      <c r="D43" t="s">
        <v>34</v>
      </c>
      <c r="E43">
        <v>34</v>
      </c>
      <c r="F43">
        <v>16</v>
      </c>
      <c r="J43">
        <f t="shared" si="2"/>
        <v>77952</v>
      </c>
      <c r="L43">
        <f t="shared" si="3"/>
        <v>34.799999999999997</v>
      </c>
    </row>
    <row r="44" spans="1:12" x14ac:dyDescent="0.25">
      <c r="A44">
        <v>1723</v>
      </c>
      <c r="B44" t="s">
        <v>64</v>
      </c>
      <c r="C44" t="s">
        <v>75</v>
      </c>
      <c r="D44" t="s">
        <v>34</v>
      </c>
      <c r="J44">
        <f t="shared" si="2"/>
        <v>0</v>
      </c>
      <c r="L44">
        <f t="shared" si="3"/>
        <v>0</v>
      </c>
    </row>
    <row r="45" spans="1:12" x14ac:dyDescent="0.25">
      <c r="A45">
        <v>1723</v>
      </c>
      <c r="B45" t="s">
        <v>72</v>
      </c>
      <c r="C45" t="s">
        <v>75</v>
      </c>
      <c r="D45" t="s">
        <v>34</v>
      </c>
      <c r="J45">
        <f t="shared" si="2"/>
        <v>0</v>
      </c>
      <c r="L45">
        <f t="shared" si="3"/>
        <v>0</v>
      </c>
    </row>
    <row r="46" spans="1:12" x14ac:dyDescent="0.25">
      <c r="A46">
        <v>1723</v>
      </c>
      <c r="B46" t="s">
        <v>65</v>
      </c>
      <c r="C46" t="s">
        <v>75</v>
      </c>
      <c r="D46" t="s">
        <v>34</v>
      </c>
      <c r="J46">
        <f t="shared" si="2"/>
        <v>0</v>
      </c>
      <c r="L46">
        <f t="shared" si="3"/>
        <v>0</v>
      </c>
    </row>
    <row r="47" spans="1:12" x14ac:dyDescent="0.25">
      <c r="A47">
        <v>1723</v>
      </c>
      <c r="B47" t="s">
        <v>66</v>
      </c>
      <c r="C47" t="s">
        <v>75</v>
      </c>
      <c r="D47" t="s">
        <v>34</v>
      </c>
      <c r="J47">
        <f t="shared" si="2"/>
        <v>0</v>
      </c>
      <c r="L47">
        <f t="shared" si="3"/>
        <v>0</v>
      </c>
    </row>
    <row r="48" spans="1:12" x14ac:dyDescent="0.25">
      <c r="A48">
        <v>1723</v>
      </c>
      <c r="B48" t="s">
        <v>6</v>
      </c>
      <c r="C48" t="s">
        <v>75</v>
      </c>
      <c r="D48" t="s">
        <v>36</v>
      </c>
      <c r="F48">
        <v>11269</v>
      </c>
      <c r="G48">
        <v>3</v>
      </c>
      <c r="H48">
        <v>15</v>
      </c>
      <c r="J48">
        <f t="shared" si="2"/>
        <v>1262227</v>
      </c>
      <c r="L48">
        <f t="shared" si="3"/>
        <v>563.4941964285714</v>
      </c>
    </row>
    <row r="49" spans="1:12" x14ac:dyDescent="0.25">
      <c r="A49">
        <v>1723</v>
      </c>
      <c r="B49" t="s">
        <v>8</v>
      </c>
      <c r="C49" t="s">
        <v>75</v>
      </c>
      <c r="D49" t="s">
        <v>36</v>
      </c>
      <c r="J49">
        <f t="shared" si="2"/>
        <v>0</v>
      </c>
      <c r="L49">
        <f t="shared" si="3"/>
        <v>0</v>
      </c>
    </row>
    <row r="50" spans="1:12" x14ac:dyDescent="0.25">
      <c r="A50">
        <v>1723</v>
      </c>
      <c r="B50" t="s">
        <v>9</v>
      </c>
      <c r="C50" t="s">
        <v>75</v>
      </c>
      <c r="D50" t="s">
        <v>36</v>
      </c>
      <c r="F50">
        <v>6</v>
      </c>
      <c r="G50">
        <v>3</v>
      </c>
      <c r="H50">
        <v>16</v>
      </c>
      <c r="J50">
        <f t="shared" si="2"/>
        <v>772</v>
      </c>
      <c r="L50">
        <f t="shared" si="3"/>
        <v>0.34464285714285714</v>
      </c>
    </row>
    <row r="51" spans="1:12" x14ac:dyDescent="0.25">
      <c r="A51">
        <v>1723</v>
      </c>
      <c r="B51" t="s">
        <v>10</v>
      </c>
      <c r="C51" t="s">
        <v>75</v>
      </c>
      <c r="D51" t="s">
        <v>36</v>
      </c>
      <c r="F51">
        <v>114</v>
      </c>
      <c r="G51">
        <v>3</v>
      </c>
      <c r="H51">
        <v>7</v>
      </c>
      <c r="J51">
        <f t="shared" si="2"/>
        <v>12859</v>
      </c>
      <c r="L51">
        <f t="shared" si="3"/>
        <v>5.7406249999999996</v>
      </c>
    </row>
    <row r="52" spans="1:12" x14ac:dyDescent="0.25">
      <c r="A52">
        <v>1723</v>
      </c>
      <c r="B52" t="s">
        <v>11</v>
      </c>
      <c r="C52" t="s">
        <v>75</v>
      </c>
      <c r="D52" t="s">
        <v>36</v>
      </c>
      <c r="J52">
        <f t="shared" si="2"/>
        <v>0</v>
      </c>
      <c r="L52">
        <f t="shared" si="3"/>
        <v>0</v>
      </c>
    </row>
    <row r="53" spans="1:12" x14ac:dyDescent="0.25">
      <c r="A53">
        <v>1723</v>
      </c>
      <c r="B53" t="s">
        <v>12</v>
      </c>
      <c r="C53" t="s">
        <v>75</v>
      </c>
      <c r="D53" t="s">
        <v>36</v>
      </c>
      <c r="F53">
        <v>47</v>
      </c>
      <c r="G53">
        <v>3</v>
      </c>
      <c r="H53">
        <v>24</v>
      </c>
      <c r="J53">
        <f t="shared" si="2"/>
        <v>5372</v>
      </c>
      <c r="L53">
        <f t="shared" si="3"/>
        <v>2.3982142857142859</v>
      </c>
    </row>
    <row r="54" spans="1:12" x14ac:dyDescent="0.25">
      <c r="A54">
        <v>1723</v>
      </c>
      <c r="B54" t="s">
        <v>13</v>
      </c>
      <c r="C54" t="s">
        <v>75</v>
      </c>
      <c r="D54" t="s">
        <v>36</v>
      </c>
      <c r="H54">
        <v>50</v>
      </c>
      <c r="J54">
        <f t="shared" si="2"/>
        <v>50</v>
      </c>
      <c r="L54">
        <f t="shared" si="3"/>
        <v>2.2321428571428572E-2</v>
      </c>
    </row>
    <row r="55" spans="1:12" x14ac:dyDescent="0.25">
      <c r="A55">
        <v>1723</v>
      </c>
      <c r="B55" t="s">
        <v>14</v>
      </c>
      <c r="C55" t="s">
        <v>75</v>
      </c>
      <c r="D55" t="s">
        <v>36</v>
      </c>
      <c r="J55">
        <f t="shared" si="2"/>
        <v>0</v>
      </c>
      <c r="L55">
        <f t="shared" si="3"/>
        <v>0</v>
      </c>
    </row>
    <row r="56" spans="1:12" x14ac:dyDescent="0.25">
      <c r="A56">
        <v>1723</v>
      </c>
      <c r="B56" t="s">
        <v>15</v>
      </c>
      <c r="C56" t="s">
        <v>75</v>
      </c>
      <c r="D56" t="s">
        <v>36</v>
      </c>
      <c r="J56">
        <f t="shared" si="2"/>
        <v>0</v>
      </c>
      <c r="L56">
        <f t="shared" si="3"/>
        <v>0</v>
      </c>
    </row>
    <row r="57" spans="1:12" x14ac:dyDescent="0.25">
      <c r="A57">
        <v>1723</v>
      </c>
      <c r="B57" t="s">
        <v>28</v>
      </c>
      <c r="C57" t="s">
        <v>75</v>
      </c>
      <c r="D57" t="s">
        <v>36</v>
      </c>
      <c r="H57">
        <v>242</v>
      </c>
      <c r="I57" t="s">
        <v>113</v>
      </c>
      <c r="J57">
        <f t="shared" si="2"/>
        <v>242</v>
      </c>
      <c r="L57">
        <f t="shared" si="3"/>
        <v>0.10803571428571429</v>
      </c>
    </row>
    <row r="58" spans="1:12" x14ac:dyDescent="0.25">
      <c r="A58">
        <v>1723</v>
      </c>
      <c r="B58" t="s">
        <v>16</v>
      </c>
      <c r="C58" t="s">
        <v>75</v>
      </c>
      <c r="D58" t="s">
        <v>36</v>
      </c>
      <c r="J58">
        <f t="shared" si="2"/>
        <v>0</v>
      </c>
      <c r="L58">
        <f t="shared" si="3"/>
        <v>0</v>
      </c>
    </row>
    <row r="59" spans="1:12" x14ac:dyDescent="0.25">
      <c r="A59">
        <v>1723</v>
      </c>
      <c r="B59" t="s">
        <v>18</v>
      </c>
      <c r="C59" t="s">
        <v>75</v>
      </c>
      <c r="D59" t="s">
        <v>36</v>
      </c>
      <c r="J59">
        <f t="shared" si="2"/>
        <v>0</v>
      </c>
      <c r="L59">
        <f t="shared" si="3"/>
        <v>0</v>
      </c>
    </row>
    <row r="60" spans="1:12" x14ac:dyDescent="0.25">
      <c r="A60">
        <v>1723</v>
      </c>
      <c r="B60" t="s">
        <v>19</v>
      </c>
      <c r="C60" t="s">
        <v>75</v>
      </c>
      <c r="D60" t="s">
        <v>36</v>
      </c>
      <c r="H60">
        <v>570</v>
      </c>
      <c r="I60" t="s">
        <v>114</v>
      </c>
      <c r="J60">
        <f t="shared" si="2"/>
        <v>570</v>
      </c>
      <c r="L60">
        <f t="shared" si="3"/>
        <v>0.2544642857142857</v>
      </c>
    </row>
    <row r="61" spans="1:12" x14ac:dyDescent="0.25">
      <c r="A61">
        <v>1723</v>
      </c>
      <c r="B61" t="s">
        <v>20</v>
      </c>
      <c r="C61" t="s">
        <v>75</v>
      </c>
      <c r="D61" t="s">
        <v>36</v>
      </c>
      <c r="J61">
        <f t="shared" si="2"/>
        <v>0</v>
      </c>
      <c r="L61">
        <f t="shared" si="3"/>
        <v>0</v>
      </c>
    </row>
    <row r="62" spans="1:12" x14ac:dyDescent="0.25">
      <c r="A62">
        <v>1723</v>
      </c>
      <c r="B62" t="s">
        <v>55</v>
      </c>
      <c r="C62" t="s">
        <v>75</v>
      </c>
      <c r="D62" t="s">
        <v>36</v>
      </c>
      <c r="J62">
        <f t="shared" si="2"/>
        <v>0</v>
      </c>
      <c r="L62">
        <f t="shared" si="3"/>
        <v>0</v>
      </c>
    </row>
    <row r="63" spans="1:12" x14ac:dyDescent="0.25">
      <c r="A63">
        <v>1723</v>
      </c>
      <c r="B63" t="s">
        <v>22</v>
      </c>
      <c r="C63" t="s">
        <v>75</v>
      </c>
      <c r="D63" t="s">
        <v>36</v>
      </c>
      <c r="J63">
        <f t="shared" si="2"/>
        <v>0</v>
      </c>
      <c r="L63">
        <f t="shared" si="3"/>
        <v>0</v>
      </c>
    </row>
    <row r="64" spans="1:12" x14ac:dyDescent="0.25">
      <c r="A64">
        <v>1723</v>
      </c>
      <c r="B64" t="s">
        <v>23</v>
      </c>
      <c r="C64" t="s">
        <v>75</v>
      </c>
      <c r="D64" t="s">
        <v>36</v>
      </c>
      <c r="J64">
        <f t="shared" si="2"/>
        <v>0</v>
      </c>
      <c r="L64">
        <f t="shared" si="3"/>
        <v>0</v>
      </c>
    </row>
    <row r="65" spans="10:12" x14ac:dyDescent="0.25">
      <c r="J65">
        <f t="shared" si="2"/>
        <v>0</v>
      </c>
      <c r="L65">
        <f t="shared" si="3"/>
        <v>0</v>
      </c>
    </row>
    <row r="66" spans="10:12" x14ac:dyDescent="0.25">
      <c r="J66">
        <f t="shared" ref="J66" si="4">(E66*2240)+(F66*112)+(G66*28)+H66</f>
        <v>0</v>
      </c>
      <c r="L66">
        <f t="shared" ref="L66" si="5">J66/2240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L66"/>
  <sheetViews>
    <sheetView workbookViewId="0">
      <selection activeCell="J51" sqref="J51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29</v>
      </c>
      <c r="F1" s="1" t="s">
        <v>30</v>
      </c>
      <c r="G1" s="1" t="s">
        <v>31</v>
      </c>
      <c r="H1" s="1" t="s">
        <v>32</v>
      </c>
      <c r="I1" s="1"/>
      <c r="J1" s="1" t="s">
        <v>33</v>
      </c>
      <c r="K1" s="1"/>
      <c r="L1" s="1" t="s">
        <v>53</v>
      </c>
    </row>
    <row r="2" spans="1:12" x14ac:dyDescent="0.25">
      <c r="A2">
        <v>1723</v>
      </c>
      <c r="B2" t="s">
        <v>56</v>
      </c>
      <c r="C2" t="s">
        <v>77</v>
      </c>
      <c r="D2" t="s">
        <v>34</v>
      </c>
      <c r="J2">
        <f>(E2*2240)+(F2*112)+(G2*28)+H2</f>
        <v>0</v>
      </c>
      <c r="L2">
        <f>J2/2240</f>
        <v>0</v>
      </c>
    </row>
    <row r="3" spans="1:12" x14ac:dyDescent="0.25">
      <c r="A3">
        <v>1723</v>
      </c>
      <c r="B3" t="s">
        <v>58</v>
      </c>
      <c r="C3" t="s">
        <v>77</v>
      </c>
      <c r="D3" t="s">
        <v>34</v>
      </c>
      <c r="J3">
        <f>(E3*2240)+(F3*112)+(G3*28)+H3</f>
        <v>0</v>
      </c>
      <c r="L3">
        <f>J3/2240</f>
        <v>0</v>
      </c>
    </row>
    <row r="4" spans="1:12" x14ac:dyDescent="0.25">
      <c r="A4">
        <v>1723</v>
      </c>
      <c r="B4" t="s">
        <v>38</v>
      </c>
      <c r="C4" t="s">
        <v>77</v>
      </c>
      <c r="D4" t="s">
        <v>34</v>
      </c>
      <c r="J4">
        <f>(E4*2240)+(F4*112)+(G4*28)+H4</f>
        <v>0</v>
      </c>
      <c r="L4">
        <f>J4/2240</f>
        <v>0</v>
      </c>
    </row>
    <row r="5" spans="1:12" x14ac:dyDescent="0.25">
      <c r="A5">
        <v>1723</v>
      </c>
      <c r="B5" t="s">
        <v>4</v>
      </c>
      <c r="C5" t="s">
        <v>77</v>
      </c>
      <c r="D5" t="s">
        <v>34</v>
      </c>
      <c r="J5">
        <f>(E5*2240)+(F5*112)+(G5*28)+H5</f>
        <v>0</v>
      </c>
      <c r="L5">
        <f>J5/2240</f>
        <v>0</v>
      </c>
    </row>
    <row r="6" spans="1:12" x14ac:dyDescent="0.25">
      <c r="A6">
        <v>1723</v>
      </c>
      <c r="B6" t="s">
        <v>59</v>
      </c>
      <c r="C6" t="s">
        <v>77</v>
      </c>
      <c r="D6" t="s">
        <v>34</v>
      </c>
      <c r="J6">
        <f>(E6*2240)+(F6*112)+(G6*28)+H6</f>
        <v>0</v>
      </c>
      <c r="L6">
        <f>J6/2240</f>
        <v>0</v>
      </c>
    </row>
    <row r="7" spans="1:12" x14ac:dyDescent="0.25">
      <c r="A7">
        <v>1723</v>
      </c>
      <c r="B7" t="s">
        <v>70</v>
      </c>
      <c r="C7" t="s">
        <v>77</v>
      </c>
      <c r="D7" t="s">
        <v>34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1723</v>
      </c>
      <c r="B8" t="s">
        <v>44</v>
      </c>
      <c r="C8" t="s">
        <v>77</v>
      </c>
      <c r="D8" t="s">
        <v>34</v>
      </c>
      <c r="J8">
        <f t="shared" si="0"/>
        <v>0</v>
      </c>
      <c r="L8">
        <f t="shared" si="1"/>
        <v>0</v>
      </c>
    </row>
    <row r="9" spans="1:12" x14ac:dyDescent="0.25">
      <c r="A9">
        <v>1723</v>
      </c>
      <c r="B9" t="s">
        <v>5</v>
      </c>
      <c r="C9" t="s">
        <v>77</v>
      </c>
      <c r="D9" t="s">
        <v>34</v>
      </c>
      <c r="J9">
        <f t="shared" si="0"/>
        <v>0</v>
      </c>
      <c r="L9">
        <f t="shared" si="1"/>
        <v>0</v>
      </c>
    </row>
    <row r="10" spans="1:12" x14ac:dyDescent="0.25">
      <c r="A10">
        <v>1723</v>
      </c>
      <c r="B10" t="s">
        <v>60</v>
      </c>
      <c r="C10" t="s">
        <v>77</v>
      </c>
      <c r="D10" t="s">
        <v>34</v>
      </c>
      <c r="J10">
        <f t="shared" si="0"/>
        <v>0</v>
      </c>
      <c r="L10">
        <f t="shared" si="1"/>
        <v>0</v>
      </c>
    </row>
    <row r="11" spans="1:12" x14ac:dyDescent="0.25">
      <c r="A11">
        <v>1723</v>
      </c>
      <c r="B11" t="s">
        <v>6</v>
      </c>
      <c r="C11" t="s">
        <v>77</v>
      </c>
      <c r="D11" t="s">
        <v>34</v>
      </c>
      <c r="F11">
        <v>107339</v>
      </c>
      <c r="G11">
        <v>3</v>
      </c>
      <c r="H11">
        <v>5</v>
      </c>
      <c r="J11">
        <f t="shared" si="0"/>
        <v>12022057</v>
      </c>
      <c r="L11">
        <f t="shared" si="1"/>
        <v>5366.9897321428571</v>
      </c>
    </row>
    <row r="12" spans="1:12" x14ac:dyDescent="0.25">
      <c r="A12">
        <v>1723</v>
      </c>
      <c r="B12" t="s">
        <v>61</v>
      </c>
      <c r="C12" t="s">
        <v>77</v>
      </c>
      <c r="D12" t="s">
        <v>34</v>
      </c>
      <c r="J12">
        <f t="shared" si="0"/>
        <v>0</v>
      </c>
      <c r="L12">
        <f t="shared" si="1"/>
        <v>0</v>
      </c>
    </row>
    <row r="13" spans="1:12" x14ac:dyDescent="0.25">
      <c r="A13">
        <v>1723</v>
      </c>
      <c r="B13" t="s">
        <v>40</v>
      </c>
      <c r="C13" t="s">
        <v>77</v>
      </c>
      <c r="D13" t="s">
        <v>34</v>
      </c>
      <c r="J13">
        <f t="shared" si="0"/>
        <v>0</v>
      </c>
      <c r="L13">
        <f t="shared" si="1"/>
        <v>0</v>
      </c>
    </row>
    <row r="14" spans="1:12" x14ac:dyDescent="0.25">
      <c r="A14">
        <v>1723</v>
      </c>
      <c r="B14" t="s">
        <v>39</v>
      </c>
      <c r="C14" t="s">
        <v>77</v>
      </c>
      <c r="D14" t="s">
        <v>34</v>
      </c>
      <c r="J14">
        <f t="shared" si="0"/>
        <v>0</v>
      </c>
      <c r="L14">
        <f t="shared" si="1"/>
        <v>0</v>
      </c>
    </row>
    <row r="15" spans="1:12" x14ac:dyDescent="0.25">
      <c r="A15">
        <v>1723</v>
      </c>
      <c r="B15" t="s">
        <v>9</v>
      </c>
      <c r="C15" t="s">
        <v>77</v>
      </c>
      <c r="D15" t="s">
        <v>34</v>
      </c>
      <c r="J15">
        <f t="shared" si="0"/>
        <v>0</v>
      </c>
      <c r="L15">
        <f t="shared" si="1"/>
        <v>0</v>
      </c>
    </row>
    <row r="16" spans="1:12" x14ac:dyDescent="0.25">
      <c r="A16">
        <v>1723</v>
      </c>
      <c r="B16" t="s">
        <v>42</v>
      </c>
      <c r="C16" t="s">
        <v>77</v>
      </c>
      <c r="D16" t="s">
        <v>34</v>
      </c>
      <c r="J16">
        <f t="shared" si="0"/>
        <v>0</v>
      </c>
      <c r="L16">
        <f t="shared" si="1"/>
        <v>0</v>
      </c>
    </row>
    <row r="17" spans="1:12" x14ac:dyDescent="0.25">
      <c r="A17">
        <v>1723</v>
      </c>
      <c r="B17" t="s">
        <v>47</v>
      </c>
      <c r="C17" t="s">
        <v>77</v>
      </c>
      <c r="D17" t="s">
        <v>34</v>
      </c>
      <c r="J17">
        <f t="shared" si="0"/>
        <v>0</v>
      </c>
      <c r="L17">
        <f t="shared" si="1"/>
        <v>0</v>
      </c>
    </row>
    <row r="18" spans="1:12" x14ac:dyDescent="0.25">
      <c r="A18">
        <v>1723</v>
      </c>
      <c r="B18" t="s">
        <v>10</v>
      </c>
      <c r="C18" t="s">
        <v>77</v>
      </c>
      <c r="D18" t="s">
        <v>34</v>
      </c>
      <c r="J18">
        <f t="shared" si="0"/>
        <v>0</v>
      </c>
      <c r="L18">
        <f t="shared" si="1"/>
        <v>0</v>
      </c>
    </row>
    <row r="19" spans="1:12" x14ac:dyDescent="0.25">
      <c r="A19">
        <v>1723</v>
      </c>
      <c r="B19" t="s">
        <v>11</v>
      </c>
      <c r="C19" t="s">
        <v>77</v>
      </c>
      <c r="D19" t="s">
        <v>34</v>
      </c>
      <c r="F19">
        <v>24</v>
      </c>
      <c r="J19">
        <f t="shared" si="0"/>
        <v>2688</v>
      </c>
      <c r="L19">
        <f t="shared" si="1"/>
        <v>1.2</v>
      </c>
    </row>
    <row r="20" spans="1:12" x14ac:dyDescent="0.25">
      <c r="A20">
        <v>1723</v>
      </c>
      <c r="B20" t="s">
        <v>12</v>
      </c>
      <c r="C20" t="s">
        <v>77</v>
      </c>
      <c r="D20" t="s">
        <v>34</v>
      </c>
      <c r="F20">
        <v>47</v>
      </c>
      <c r="G20">
        <v>3</v>
      </c>
      <c r="J20">
        <f t="shared" si="0"/>
        <v>5348</v>
      </c>
      <c r="L20">
        <f t="shared" si="1"/>
        <v>2.3875000000000002</v>
      </c>
    </row>
    <row r="21" spans="1:12" x14ac:dyDescent="0.25">
      <c r="A21">
        <v>1723</v>
      </c>
      <c r="B21" t="s">
        <v>41</v>
      </c>
      <c r="C21" t="s">
        <v>77</v>
      </c>
      <c r="D21" t="s">
        <v>34</v>
      </c>
      <c r="J21">
        <f t="shared" si="0"/>
        <v>0</v>
      </c>
      <c r="L21">
        <f t="shared" si="1"/>
        <v>0</v>
      </c>
    </row>
    <row r="22" spans="1:12" x14ac:dyDescent="0.25">
      <c r="A22">
        <v>1723</v>
      </c>
      <c r="B22" t="s">
        <v>45</v>
      </c>
      <c r="C22" t="s">
        <v>77</v>
      </c>
      <c r="D22" t="s">
        <v>34</v>
      </c>
      <c r="J22">
        <f t="shared" si="0"/>
        <v>0</v>
      </c>
      <c r="L22">
        <f t="shared" si="1"/>
        <v>0</v>
      </c>
    </row>
    <row r="23" spans="1:12" x14ac:dyDescent="0.25">
      <c r="A23">
        <v>1723</v>
      </c>
      <c r="B23" t="s">
        <v>13</v>
      </c>
      <c r="C23" t="s">
        <v>77</v>
      </c>
      <c r="D23" t="s">
        <v>34</v>
      </c>
      <c r="H23">
        <v>1345</v>
      </c>
      <c r="J23">
        <f t="shared" si="0"/>
        <v>1345</v>
      </c>
      <c r="L23">
        <f t="shared" si="1"/>
        <v>0.6004464285714286</v>
      </c>
    </row>
    <row r="24" spans="1:12" x14ac:dyDescent="0.25">
      <c r="A24">
        <v>1723</v>
      </c>
      <c r="B24" t="s">
        <v>35</v>
      </c>
      <c r="C24" t="s">
        <v>77</v>
      </c>
      <c r="D24" t="s">
        <v>34</v>
      </c>
      <c r="J24">
        <f t="shared" si="0"/>
        <v>0</v>
      </c>
      <c r="L24">
        <f t="shared" si="1"/>
        <v>0</v>
      </c>
    </row>
    <row r="25" spans="1:12" x14ac:dyDescent="0.25">
      <c r="A25">
        <v>1723</v>
      </c>
      <c r="B25" t="s">
        <v>14</v>
      </c>
      <c r="C25" t="s">
        <v>77</v>
      </c>
      <c r="D25" t="s">
        <v>34</v>
      </c>
      <c r="J25">
        <f t="shared" si="0"/>
        <v>0</v>
      </c>
      <c r="L25">
        <f t="shared" si="1"/>
        <v>0</v>
      </c>
    </row>
    <row r="26" spans="1:12" x14ac:dyDescent="0.25">
      <c r="A26">
        <v>1723</v>
      </c>
      <c r="B26" t="s">
        <v>15</v>
      </c>
      <c r="C26" t="s">
        <v>77</v>
      </c>
      <c r="D26" t="s">
        <v>34</v>
      </c>
      <c r="J26">
        <f t="shared" ref="J26:J65" si="2">(E26*2240)+(F26*112)+(G26*28)+H26</f>
        <v>0</v>
      </c>
      <c r="L26">
        <f t="shared" si="1"/>
        <v>0</v>
      </c>
    </row>
    <row r="27" spans="1:12" x14ac:dyDescent="0.25">
      <c r="A27">
        <v>1723</v>
      </c>
      <c r="B27" t="s">
        <v>24</v>
      </c>
      <c r="C27" t="s">
        <v>77</v>
      </c>
      <c r="D27" t="s">
        <v>34</v>
      </c>
      <c r="J27">
        <f t="shared" si="2"/>
        <v>0</v>
      </c>
      <c r="L27">
        <f t="shared" si="1"/>
        <v>0</v>
      </c>
    </row>
    <row r="28" spans="1:12" x14ac:dyDescent="0.25">
      <c r="A28">
        <v>1723</v>
      </c>
      <c r="B28" t="s">
        <v>28</v>
      </c>
      <c r="C28" t="s">
        <v>77</v>
      </c>
      <c r="D28" t="s">
        <v>34</v>
      </c>
      <c r="H28">
        <v>16158</v>
      </c>
      <c r="I28" t="s">
        <v>100</v>
      </c>
      <c r="J28">
        <f t="shared" si="2"/>
        <v>16158</v>
      </c>
      <c r="L28">
        <f t="shared" ref="L28:L65" si="3">J28/2240</f>
        <v>7.2133928571428569</v>
      </c>
    </row>
    <row r="29" spans="1:12" x14ac:dyDescent="0.25">
      <c r="A29">
        <v>1723</v>
      </c>
      <c r="B29" t="s">
        <v>16</v>
      </c>
      <c r="C29" t="s">
        <v>77</v>
      </c>
      <c r="D29" t="s">
        <v>34</v>
      </c>
      <c r="J29">
        <f t="shared" si="2"/>
        <v>0</v>
      </c>
      <c r="L29">
        <f t="shared" si="3"/>
        <v>0</v>
      </c>
    </row>
    <row r="30" spans="1:12" x14ac:dyDescent="0.25">
      <c r="A30">
        <v>1723</v>
      </c>
      <c r="B30" t="s">
        <v>43</v>
      </c>
      <c r="C30" t="s">
        <v>77</v>
      </c>
      <c r="D30" t="s">
        <v>34</v>
      </c>
      <c r="J30">
        <f t="shared" si="2"/>
        <v>0</v>
      </c>
      <c r="L30">
        <f t="shared" si="3"/>
        <v>0</v>
      </c>
    </row>
    <row r="31" spans="1:12" x14ac:dyDescent="0.25">
      <c r="A31">
        <v>1723</v>
      </c>
      <c r="B31" t="s">
        <v>48</v>
      </c>
      <c r="C31" t="s">
        <v>77</v>
      </c>
      <c r="D31" t="s">
        <v>34</v>
      </c>
      <c r="J31">
        <f t="shared" si="2"/>
        <v>0</v>
      </c>
      <c r="L31">
        <f t="shared" si="3"/>
        <v>0</v>
      </c>
    </row>
    <row r="32" spans="1:12" x14ac:dyDescent="0.25">
      <c r="A32">
        <v>1723</v>
      </c>
      <c r="B32" t="s">
        <v>17</v>
      </c>
      <c r="C32" t="s">
        <v>77</v>
      </c>
      <c r="D32" t="s">
        <v>34</v>
      </c>
      <c r="J32">
        <f t="shared" si="2"/>
        <v>0</v>
      </c>
      <c r="L32">
        <f t="shared" si="3"/>
        <v>0</v>
      </c>
    </row>
    <row r="33" spans="1:12" x14ac:dyDescent="0.25">
      <c r="A33">
        <v>1723</v>
      </c>
      <c r="B33" t="s">
        <v>18</v>
      </c>
      <c r="C33" t="s">
        <v>77</v>
      </c>
      <c r="D33" t="s">
        <v>34</v>
      </c>
      <c r="J33">
        <f t="shared" si="2"/>
        <v>0</v>
      </c>
      <c r="L33">
        <f t="shared" si="3"/>
        <v>0</v>
      </c>
    </row>
    <row r="34" spans="1:12" x14ac:dyDescent="0.25">
      <c r="A34">
        <v>1723</v>
      </c>
      <c r="B34" t="s">
        <v>19</v>
      </c>
      <c r="C34" t="s">
        <v>77</v>
      </c>
      <c r="D34" t="s">
        <v>34</v>
      </c>
      <c r="H34">
        <v>39230</v>
      </c>
      <c r="I34" t="s">
        <v>101</v>
      </c>
      <c r="J34">
        <f t="shared" si="2"/>
        <v>39230</v>
      </c>
      <c r="L34">
        <f t="shared" si="3"/>
        <v>17.513392857142858</v>
      </c>
    </row>
    <row r="35" spans="1:12" x14ac:dyDescent="0.25">
      <c r="A35">
        <v>1723</v>
      </c>
      <c r="B35" t="s">
        <v>71</v>
      </c>
      <c r="C35" t="s">
        <v>77</v>
      </c>
      <c r="D35" t="s">
        <v>34</v>
      </c>
      <c r="J35">
        <f t="shared" si="2"/>
        <v>0</v>
      </c>
      <c r="L35">
        <f t="shared" si="3"/>
        <v>0</v>
      </c>
    </row>
    <row r="36" spans="1:12" x14ac:dyDescent="0.25">
      <c r="A36">
        <v>1723</v>
      </c>
      <c r="B36" t="s">
        <v>20</v>
      </c>
      <c r="C36" t="s">
        <v>77</v>
      </c>
      <c r="D36" t="s">
        <v>34</v>
      </c>
      <c r="F36">
        <v>25</v>
      </c>
      <c r="H36">
        <v>11</v>
      </c>
      <c r="J36">
        <f t="shared" si="2"/>
        <v>2811</v>
      </c>
      <c r="L36">
        <f t="shared" si="3"/>
        <v>1.2549107142857143</v>
      </c>
    </row>
    <row r="37" spans="1:12" x14ac:dyDescent="0.25">
      <c r="A37">
        <v>1723</v>
      </c>
      <c r="B37" t="s">
        <v>46</v>
      </c>
      <c r="C37" t="s">
        <v>77</v>
      </c>
      <c r="D37" t="s">
        <v>34</v>
      </c>
      <c r="J37">
        <f t="shared" si="2"/>
        <v>0</v>
      </c>
      <c r="L37">
        <f t="shared" si="3"/>
        <v>0</v>
      </c>
    </row>
    <row r="38" spans="1:12" x14ac:dyDescent="0.25">
      <c r="A38">
        <v>1723</v>
      </c>
      <c r="B38" t="s">
        <v>55</v>
      </c>
      <c r="C38" t="s">
        <v>77</v>
      </c>
      <c r="D38" t="s">
        <v>34</v>
      </c>
      <c r="H38">
        <v>28</v>
      </c>
      <c r="J38">
        <f t="shared" si="2"/>
        <v>28</v>
      </c>
      <c r="L38">
        <f t="shared" si="3"/>
        <v>1.2500000000000001E-2</v>
      </c>
    </row>
    <row r="39" spans="1:12" x14ac:dyDescent="0.25">
      <c r="A39">
        <v>1723</v>
      </c>
      <c r="B39" t="s">
        <v>21</v>
      </c>
      <c r="C39" t="s">
        <v>77</v>
      </c>
      <c r="D39" t="s">
        <v>34</v>
      </c>
      <c r="J39">
        <f t="shared" si="2"/>
        <v>0</v>
      </c>
      <c r="L39">
        <f t="shared" si="3"/>
        <v>0</v>
      </c>
    </row>
    <row r="40" spans="1:12" x14ac:dyDescent="0.25">
      <c r="A40">
        <v>1723</v>
      </c>
      <c r="B40" t="s">
        <v>22</v>
      </c>
      <c r="C40" t="s">
        <v>77</v>
      </c>
      <c r="D40" t="s">
        <v>34</v>
      </c>
      <c r="J40">
        <f t="shared" si="2"/>
        <v>0</v>
      </c>
      <c r="L40">
        <f t="shared" si="3"/>
        <v>0</v>
      </c>
    </row>
    <row r="41" spans="1:12" x14ac:dyDescent="0.25">
      <c r="A41">
        <v>1723</v>
      </c>
      <c r="B41" t="s">
        <v>23</v>
      </c>
      <c r="C41" t="s">
        <v>77</v>
      </c>
      <c r="D41" t="s">
        <v>34</v>
      </c>
      <c r="J41">
        <f t="shared" si="2"/>
        <v>0</v>
      </c>
      <c r="L41">
        <f t="shared" si="3"/>
        <v>0</v>
      </c>
    </row>
    <row r="42" spans="1:12" x14ac:dyDescent="0.25">
      <c r="A42">
        <v>1723</v>
      </c>
      <c r="B42" t="s">
        <v>62</v>
      </c>
      <c r="C42" t="s">
        <v>77</v>
      </c>
      <c r="D42" t="s">
        <v>34</v>
      </c>
      <c r="J42">
        <f t="shared" si="2"/>
        <v>0</v>
      </c>
      <c r="L42">
        <f t="shared" si="3"/>
        <v>0</v>
      </c>
    </row>
    <row r="43" spans="1:12" x14ac:dyDescent="0.25">
      <c r="A43">
        <v>1723</v>
      </c>
      <c r="B43" t="s">
        <v>63</v>
      </c>
      <c r="C43" t="s">
        <v>77</v>
      </c>
      <c r="D43" t="s">
        <v>34</v>
      </c>
      <c r="E43">
        <v>157</v>
      </c>
      <c r="F43">
        <v>9</v>
      </c>
      <c r="G43">
        <v>1</v>
      </c>
      <c r="J43">
        <f t="shared" si="2"/>
        <v>352716</v>
      </c>
      <c r="L43">
        <f t="shared" si="3"/>
        <v>157.46250000000001</v>
      </c>
    </row>
    <row r="44" spans="1:12" x14ac:dyDescent="0.25">
      <c r="A44">
        <v>1723</v>
      </c>
      <c r="B44" t="s">
        <v>64</v>
      </c>
      <c r="C44" t="s">
        <v>77</v>
      </c>
      <c r="D44" t="s">
        <v>34</v>
      </c>
      <c r="J44">
        <f t="shared" si="2"/>
        <v>0</v>
      </c>
      <c r="L44">
        <f t="shared" si="3"/>
        <v>0</v>
      </c>
    </row>
    <row r="45" spans="1:12" x14ac:dyDescent="0.25">
      <c r="A45">
        <v>1723</v>
      </c>
      <c r="B45" t="s">
        <v>72</v>
      </c>
      <c r="C45" t="s">
        <v>77</v>
      </c>
      <c r="D45" t="s">
        <v>34</v>
      </c>
      <c r="J45">
        <f t="shared" si="2"/>
        <v>0</v>
      </c>
      <c r="L45">
        <f t="shared" si="3"/>
        <v>0</v>
      </c>
    </row>
    <row r="46" spans="1:12" x14ac:dyDescent="0.25">
      <c r="A46">
        <v>1723</v>
      </c>
      <c r="B46" t="s">
        <v>65</v>
      </c>
      <c r="C46" t="s">
        <v>77</v>
      </c>
      <c r="D46" t="s">
        <v>34</v>
      </c>
      <c r="J46">
        <f t="shared" si="2"/>
        <v>0</v>
      </c>
      <c r="L46">
        <f t="shared" si="3"/>
        <v>0</v>
      </c>
    </row>
    <row r="47" spans="1:12" x14ac:dyDescent="0.25">
      <c r="A47">
        <v>1723</v>
      </c>
      <c r="B47" t="s">
        <v>66</v>
      </c>
      <c r="C47" t="s">
        <v>77</v>
      </c>
      <c r="D47" t="s">
        <v>34</v>
      </c>
      <c r="J47">
        <f t="shared" si="2"/>
        <v>0</v>
      </c>
      <c r="L47">
        <f t="shared" si="3"/>
        <v>0</v>
      </c>
    </row>
    <row r="48" spans="1:12" x14ac:dyDescent="0.25">
      <c r="A48">
        <v>1723</v>
      </c>
      <c r="B48" t="s">
        <v>6</v>
      </c>
      <c r="C48" t="s">
        <v>77</v>
      </c>
      <c r="D48" t="s">
        <v>36</v>
      </c>
      <c r="F48">
        <v>14761</v>
      </c>
      <c r="G48">
        <v>2</v>
      </c>
      <c r="H48">
        <v>22</v>
      </c>
      <c r="J48">
        <f t="shared" si="2"/>
        <v>1653310</v>
      </c>
      <c r="L48">
        <f t="shared" si="3"/>
        <v>738.08482142857144</v>
      </c>
    </row>
    <row r="49" spans="1:12" x14ac:dyDescent="0.25">
      <c r="A49">
        <v>1723</v>
      </c>
      <c r="B49" t="s">
        <v>8</v>
      </c>
      <c r="C49" t="s">
        <v>77</v>
      </c>
      <c r="D49" t="s">
        <v>36</v>
      </c>
      <c r="J49">
        <f t="shared" si="2"/>
        <v>0</v>
      </c>
      <c r="L49">
        <f t="shared" si="3"/>
        <v>0</v>
      </c>
    </row>
    <row r="50" spans="1:12" x14ac:dyDescent="0.25">
      <c r="A50">
        <v>1723</v>
      </c>
      <c r="B50" t="s">
        <v>9</v>
      </c>
      <c r="C50" t="s">
        <v>77</v>
      </c>
      <c r="D50" t="s">
        <v>36</v>
      </c>
      <c r="J50">
        <f t="shared" si="2"/>
        <v>0</v>
      </c>
      <c r="L50">
        <f t="shared" si="3"/>
        <v>0</v>
      </c>
    </row>
    <row r="51" spans="1:12" x14ac:dyDescent="0.25">
      <c r="A51">
        <v>1723</v>
      </c>
      <c r="B51" t="s">
        <v>10</v>
      </c>
      <c r="C51" t="s">
        <v>77</v>
      </c>
      <c r="D51" t="s">
        <v>36</v>
      </c>
      <c r="F51">
        <v>266</v>
      </c>
      <c r="G51">
        <v>1</v>
      </c>
      <c r="H51">
        <v>26</v>
      </c>
      <c r="J51">
        <f t="shared" si="2"/>
        <v>29846</v>
      </c>
      <c r="L51">
        <f t="shared" si="3"/>
        <v>13.324107142857143</v>
      </c>
    </row>
    <row r="52" spans="1:12" x14ac:dyDescent="0.25">
      <c r="A52">
        <v>1723</v>
      </c>
      <c r="B52" t="s">
        <v>11</v>
      </c>
      <c r="C52" t="s">
        <v>77</v>
      </c>
      <c r="D52" t="s">
        <v>36</v>
      </c>
      <c r="J52">
        <f t="shared" si="2"/>
        <v>0</v>
      </c>
      <c r="L52">
        <f t="shared" si="3"/>
        <v>0</v>
      </c>
    </row>
    <row r="53" spans="1:12" x14ac:dyDescent="0.25">
      <c r="A53">
        <v>1723</v>
      </c>
      <c r="B53" t="s">
        <v>12</v>
      </c>
      <c r="C53" t="s">
        <v>77</v>
      </c>
      <c r="D53" t="s">
        <v>36</v>
      </c>
      <c r="F53">
        <v>50</v>
      </c>
      <c r="G53">
        <v>1</v>
      </c>
      <c r="H53">
        <v>3</v>
      </c>
      <c r="J53">
        <f t="shared" si="2"/>
        <v>5631</v>
      </c>
      <c r="L53">
        <f t="shared" si="3"/>
        <v>2.5138392857142855</v>
      </c>
    </row>
    <row r="54" spans="1:12" x14ac:dyDescent="0.25">
      <c r="A54">
        <v>1723</v>
      </c>
      <c r="B54" t="s">
        <v>13</v>
      </c>
      <c r="C54" t="s">
        <v>77</v>
      </c>
      <c r="D54" t="s">
        <v>36</v>
      </c>
      <c r="H54">
        <v>253</v>
      </c>
      <c r="J54">
        <f t="shared" si="2"/>
        <v>253</v>
      </c>
      <c r="L54">
        <f t="shared" si="3"/>
        <v>0.11294642857142857</v>
      </c>
    </row>
    <row r="55" spans="1:12" x14ac:dyDescent="0.25">
      <c r="A55">
        <v>1723</v>
      </c>
      <c r="B55" t="s">
        <v>14</v>
      </c>
      <c r="C55" t="s">
        <v>77</v>
      </c>
      <c r="D55" t="s">
        <v>36</v>
      </c>
      <c r="E55">
        <v>9</v>
      </c>
      <c r="F55">
        <v>8</v>
      </c>
      <c r="G55">
        <v>1</v>
      </c>
      <c r="H55">
        <v>3</v>
      </c>
      <c r="J55">
        <f t="shared" si="2"/>
        <v>21087</v>
      </c>
      <c r="L55">
        <f t="shared" si="3"/>
        <v>9.4138392857142854</v>
      </c>
    </row>
    <row r="56" spans="1:12" x14ac:dyDescent="0.25">
      <c r="A56">
        <v>1723</v>
      </c>
      <c r="B56" t="s">
        <v>15</v>
      </c>
      <c r="C56" t="s">
        <v>77</v>
      </c>
      <c r="D56" t="s">
        <v>36</v>
      </c>
      <c r="J56">
        <f t="shared" si="2"/>
        <v>0</v>
      </c>
      <c r="L56">
        <f t="shared" si="3"/>
        <v>0</v>
      </c>
    </row>
    <row r="57" spans="1:12" x14ac:dyDescent="0.25">
      <c r="A57">
        <v>1723</v>
      </c>
      <c r="B57" t="s">
        <v>28</v>
      </c>
      <c r="C57" t="s">
        <v>77</v>
      </c>
      <c r="D57" t="s">
        <v>36</v>
      </c>
      <c r="H57">
        <v>71</v>
      </c>
      <c r="I57" t="s">
        <v>115</v>
      </c>
      <c r="J57">
        <f t="shared" si="2"/>
        <v>71</v>
      </c>
      <c r="L57">
        <f t="shared" si="3"/>
        <v>3.169642857142857E-2</v>
      </c>
    </row>
    <row r="58" spans="1:12" x14ac:dyDescent="0.25">
      <c r="A58">
        <v>1723</v>
      </c>
      <c r="B58" t="s">
        <v>16</v>
      </c>
      <c r="C58" t="s">
        <v>77</v>
      </c>
      <c r="D58" t="s">
        <v>36</v>
      </c>
      <c r="F58">
        <v>247</v>
      </c>
      <c r="G58">
        <v>2</v>
      </c>
      <c r="H58">
        <v>21</v>
      </c>
      <c r="J58">
        <f t="shared" si="2"/>
        <v>27741</v>
      </c>
      <c r="L58">
        <f t="shared" si="3"/>
        <v>12.384375</v>
      </c>
    </row>
    <row r="59" spans="1:12" x14ac:dyDescent="0.25">
      <c r="A59">
        <v>1723</v>
      </c>
      <c r="B59" t="s">
        <v>18</v>
      </c>
      <c r="C59" t="s">
        <v>77</v>
      </c>
      <c r="D59" t="s">
        <v>36</v>
      </c>
      <c r="J59">
        <f t="shared" si="2"/>
        <v>0</v>
      </c>
      <c r="L59">
        <f t="shared" si="3"/>
        <v>0</v>
      </c>
    </row>
    <row r="60" spans="1:12" x14ac:dyDescent="0.25">
      <c r="A60">
        <v>1723</v>
      </c>
      <c r="B60" t="s">
        <v>19</v>
      </c>
      <c r="C60" t="s">
        <v>77</v>
      </c>
      <c r="D60" t="s">
        <v>36</v>
      </c>
      <c r="H60">
        <v>2695</v>
      </c>
      <c r="I60" t="s">
        <v>116</v>
      </c>
      <c r="J60">
        <f t="shared" si="2"/>
        <v>2695</v>
      </c>
      <c r="L60">
        <f t="shared" si="3"/>
        <v>1.203125</v>
      </c>
    </row>
    <row r="61" spans="1:12" x14ac:dyDescent="0.25">
      <c r="A61">
        <v>1723</v>
      </c>
      <c r="B61" t="s">
        <v>20</v>
      </c>
      <c r="C61" t="s">
        <v>77</v>
      </c>
      <c r="D61" t="s">
        <v>36</v>
      </c>
      <c r="J61">
        <f t="shared" si="2"/>
        <v>0</v>
      </c>
      <c r="L61">
        <f t="shared" si="3"/>
        <v>0</v>
      </c>
    </row>
    <row r="62" spans="1:12" x14ac:dyDescent="0.25">
      <c r="A62">
        <v>1723</v>
      </c>
      <c r="B62" t="s">
        <v>55</v>
      </c>
      <c r="C62" t="s">
        <v>77</v>
      </c>
      <c r="D62" t="s">
        <v>36</v>
      </c>
      <c r="J62">
        <f t="shared" si="2"/>
        <v>0</v>
      </c>
      <c r="L62">
        <f t="shared" si="3"/>
        <v>0</v>
      </c>
    </row>
    <row r="63" spans="1:12" x14ac:dyDescent="0.25">
      <c r="A63">
        <v>1723</v>
      </c>
      <c r="B63" t="s">
        <v>22</v>
      </c>
      <c r="C63" t="s">
        <v>77</v>
      </c>
      <c r="D63" t="s">
        <v>36</v>
      </c>
      <c r="J63">
        <f t="shared" si="2"/>
        <v>0</v>
      </c>
      <c r="L63">
        <f t="shared" si="3"/>
        <v>0</v>
      </c>
    </row>
    <row r="64" spans="1:12" x14ac:dyDescent="0.25">
      <c r="A64">
        <v>1723</v>
      </c>
      <c r="B64" t="s">
        <v>23</v>
      </c>
      <c r="C64" t="s">
        <v>77</v>
      </c>
      <c r="D64" t="s">
        <v>36</v>
      </c>
      <c r="J64">
        <f t="shared" si="2"/>
        <v>0</v>
      </c>
      <c r="L64">
        <f t="shared" si="3"/>
        <v>0</v>
      </c>
    </row>
    <row r="65" spans="1:12" x14ac:dyDescent="0.25">
      <c r="A65">
        <v>1723</v>
      </c>
      <c r="B65" t="s">
        <v>63</v>
      </c>
      <c r="C65" t="s">
        <v>77</v>
      </c>
      <c r="D65" t="s">
        <v>36</v>
      </c>
      <c r="E65">
        <v>47</v>
      </c>
      <c r="J65">
        <f t="shared" si="2"/>
        <v>105280</v>
      </c>
      <c r="L65">
        <f t="shared" si="3"/>
        <v>47</v>
      </c>
    </row>
    <row r="66" spans="1:12" x14ac:dyDescent="0.25">
      <c r="J66">
        <f t="shared" ref="J66" si="4">(E66*2240)+(F66*112)+(G66*28)+H66</f>
        <v>0</v>
      </c>
      <c r="L66">
        <f t="shared" ref="L66" si="5">J66/2240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C573-313B-4FC5-9929-1856D799465E}">
  <dimension ref="A1:L67"/>
  <sheetViews>
    <sheetView workbookViewId="0">
      <selection activeCell="H19" sqref="H1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29</v>
      </c>
      <c r="F1" s="1" t="s">
        <v>30</v>
      </c>
      <c r="G1" s="1" t="s">
        <v>31</v>
      </c>
      <c r="H1" s="1" t="s">
        <v>32</v>
      </c>
      <c r="I1" s="1"/>
      <c r="J1" s="1" t="s">
        <v>33</v>
      </c>
      <c r="K1" s="1"/>
      <c r="L1" s="1" t="s">
        <v>53</v>
      </c>
    </row>
    <row r="2" spans="1:12" x14ac:dyDescent="0.25">
      <c r="A2">
        <v>1723</v>
      </c>
      <c r="B2" t="s">
        <v>56</v>
      </c>
      <c r="C2" t="s">
        <v>118</v>
      </c>
      <c r="D2" t="s">
        <v>34</v>
      </c>
      <c r="J2">
        <f>(E2*2240)+(F2*112)+(G2*28)+H2</f>
        <v>0</v>
      </c>
      <c r="L2">
        <f>J2/2240</f>
        <v>0</v>
      </c>
    </row>
    <row r="3" spans="1:12" x14ac:dyDescent="0.25">
      <c r="A3">
        <v>1723</v>
      </c>
      <c r="B3" t="s">
        <v>58</v>
      </c>
      <c r="C3" t="s">
        <v>118</v>
      </c>
      <c r="D3" t="s">
        <v>34</v>
      </c>
      <c r="J3">
        <f>(E3*2240)+(F3*112)+(G3*28)+H3</f>
        <v>0</v>
      </c>
      <c r="L3">
        <f>J3/2240</f>
        <v>0</v>
      </c>
    </row>
    <row r="4" spans="1:12" x14ac:dyDescent="0.25">
      <c r="A4">
        <v>1723</v>
      </c>
      <c r="B4" t="s">
        <v>38</v>
      </c>
      <c r="C4" t="s">
        <v>118</v>
      </c>
      <c r="D4" t="s">
        <v>34</v>
      </c>
      <c r="H4">
        <v>600</v>
      </c>
      <c r="J4">
        <f>(E4*2240)+(F4*112)+(G4*28)+H4</f>
        <v>600</v>
      </c>
      <c r="L4">
        <f>J4/2240</f>
        <v>0.26785714285714285</v>
      </c>
    </row>
    <row r="5" spans="1:12" x14ac:dyDescent="0.25">
      <c r="A5">
        <v>1723</v>
      </c>
      <c r="B5" t="s">
        <v>4</v>
      </c>
      <c r="C5" t="s">
        <v>118</v>
      </c>
      <c r="D5" t="s">
        <v>34</v>
      </c>
      <c r="J5">
        <f>(E5*2240)+(F5*112)+(G5*28)+H5</f>
        <v>0</v>
      </c>
      <c r="L5">
        <f>J5/2240</f>
        <v>0</v>
      </c>
    </row>
    <row r="6" spans="1:12" x14ac:dyDescent="0.25">
      <c r="A6">
        <v>1723</v>
      </c>
      <c r="B6" t="s">
        <v>59</v>
      </c>
      <c r="C6" t="s">
        <v>118</v>
      </c>
      <c r="D6" t="s">
        <v>34</v>
      </c>
      <c r="J6">
        <f>(E6*2240)+(F6*112)+(G6*28)+H6</f>
        <v>0</v>
      </c>
      <c r="L6">
        <f>J6/2240</f>
        <v>0</v>
      </c>
    </row>
    <row r="7" spans="1:12" x14ac:dyDescent="0.25">
      <c r="A7">
        <v>1723</v>
      </c>
      <c r="B7" t="s">
        <v>70</v>
      </c>
      <c r="C7" t="s">
        <v>118</v>
      </c>
      <c r="D7" t="s">
        <v>34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1723</v>
      </c>
      <c r="B8" t="s">
        <v>44</v>
      </c>
      <c r="C8" t="s">
        <v>118</v>
      </c>
      <c r="D8" t="s">
        <v>34</v>
      </c>
      <c r="J8">
        <f t="shared" si="0"/>
        <v>0</v>
      </c>
      <c r="L8">
        <f t="shared" si="1"/>
        <v>0</v>
      </c>
    </row>
    <row r="9" spans="1:12" x14ac:dyDescent="0.25">
      <c r="A9">
        <v>1723</v>
      </c>
      <c r="B9" t="s">
        <v>5</v>
      </c>
      <c r="C9" t="s">
        <v>118</v>
      </c>
      <c r="D9" t="s">
        <v>34</v>
      </c>
      <c r="J9">
        <f t="shared" si="0"/>
        <v>0</v>
      </c>
      <c r="L9">
        <f t="shared" si="1"/>
        <v>0</v>
      </c>
    </row>
    <row r="10" spans="1:12" x14ac:dyDescent="0.25">
      <c r="A10">
        <v>1723</v>
      </c>
      <c r="B10" t="s">
        <v>60</v>
      </c>
      <c r="C10" t="s">
        <v>118</v>
      </c>
      <c r="D10" t="s">
        <v>34</v>
      </c>
      <c r="J10">
        <f t="shared" si="0"/>
        <v>0</v>
      </c>
      <c r="L10">
        <f t="shared" si="1"/>
        <v>0</v>
      </c>
    </row>
    <row r="11" spans="1:12" x14ac:dyDescent="0.25">
      <c r="A11">
        <v>1723</v>
      </c>
      <c r="B11" t="s">
        <v>6</v>
      </c>
      <c r="C11" t="s">
        <v>118</v>
      </c>
      <c r="D11" t="s">
        <v>34</v>
      </c>
      <c r="F11">
        <v>6555</v>
      </c>
      <c r="J11">
        <f t="shared" si="0"/>
        <v>734160</v>
      </c>
      <c r="L11">
        <f t="shared" si="1"/>
        <v>327.75</v>
      </c>
    </row>
    <row r="12" spans="1:12" x14ac:dyDescent="0.25">
      <c r="A12">
        <v>1723</v>
      </c>
      <c r="B12" t="s">
        <v>61</v>
      </c>
      <c r="C12" t="s">
        <v>118</v>
      </c>
      <c r="D12" t="s">
        <v>34</v>
      </c>
      <c r="H12">
        <v>70</v>
      </c>
      <c r="J12">
        <f t="shared" si="0"/>
        <v>70</v>
      </c>
      <c r="L12">
        <f t="shared" si="1"/>
        <v>3.125E-2</v>
      </c>
    </row>
    <row r="13" spans="1:12" x14ac:dyDescent="0.25">
      <c r="A13">
        <v>1723</v>
      </c>
      <c r="B13" t="s">
        <v>40</v>
      </c>
      <c r="C13" t="s">
        <v>118</v>
      </c>
      <c r="D13" t="s">
        <v>34</v>
      </c>
      <c r="J13">
        <f t="shared" si="0"/>
        <v>0</v>
      </c>
      <c r="L13">
        <f t="shared" si="1"/>
        <v>0</v>
      </c>
    </row>
    <row r="14" spans="1:12" x14ac:dyDescent="0.25">
      <c r="A14">
        <v>1723</v>
      </c>
      <c r="B14" t="s">
        <v>39</v>
      </c>
      <c r="C14" t="s">
        <v>118</v>
      </c>
      <c r="D14" t="s">
        <v>34</v>
      </c>
      <c r="J14">
        <f t="shared" si="0"/>
        <v>0</v>
      </c>
      <c r="L14">
        <f t="shared" si="1"/>
        <v>0</v>
      </c>
    </row>
    <row r="15" spans="1:12" x14ac:dyDescent="0.25">
      <c r="A15">
        <v>1723</v>
      </c>
      <c r="B15" t="s">
        <v>9</v>
      </c>
      <c r="C15" t="s">
        <v>118</v>
      </c>
      <c r="D15" t="s">
        <v>34</v>
      </c>
      <c r="J15">
        <f t="shared" si="0"/>
        <v>0</v>
      </c>
      <c r="L15">
        <f t="shared" si="1"/>
        <v>0</v>
      </c>
    </row>
    <row r="16" spans="1:12" x14ac:dyDescent="0.25">
      <c r="A16">
        <v>1723</v>
      </c>
      <c r="B16" t="s">
        <v>42</v>
      </c>
      <c r="C16" t="s">
        <v>118</v>
      </c>
      <c r="D16" t="s">
        <v>34</v>
      </c>
      <c r="J16">
        <f t="shared" si="0"/>
        <v>0</v>
      </c>
      <c r="L16">
        <f t="shared" si="1"/>
        <v>0</v>
      </c>
    </row>
    <row r="17" spans="1:12" x14ac:dyDescent="0.25">
      <c r="A17">
        <v>1723</v>
      </c>
      <c r="B17" t="s">
        <v>47</v>
      </c>
      <c r="C17" t="s">
        <v>118</v>
      </c>
      <c r="D17" t="s">
        <v>34</v>
      </c>
      <c r="J17">
        <f t="shared" si="0"/>
        <v>0</v>
      </c>
      <c r="L17">
        <f t="shared" si="1"/>
        <v>0</v>
      </c>
    </row>
    <row r="18" spans="1:12" x14ac:dyDescent="0.25">
      <c r="A18">
        <v>1723</v>
      </c>
      <c r="B18" t="s">
        <v>10</v>
      </c>
      <c r="C18" t="s">
        <v>118</v>
      </c>
      <c r="D18" t="s">
        <v>34</v>
      </c>
      <c r="H18">
        <f>200*3</f>
        <v>600</v>
      </c>
      <c r="I18" t="s">
        <v>102</v>
      </c>
      <c r="J18">
        <f t="shared" si="0"/>
        <v>600</v>
      </c>
      <c r="L18">
        <f t="shared" si="1"/>
        <v>0.26785714285714285</v>
      </c>
    </row>
    <row r="19" spans="1:12" x14ac:dyDescent="0.25">
      <c r="A19">
        <v>1723</v>
      </c>
      <c r="B19" t="s">
        <v>11</v>
      </c>
      <c r="C19" t="s">
        <v>118</v>
      </c>
      <c r="D19" t="s">
        <v>34</v>
      </c>
      <c r="F19">
        <v>266</v>
      </c>
      <c r="H19">
        <v>21</v>
      </c>
      <c r="J19">
        <f t="shared" si="0"/>
        <v>29813</v>
      </c>
      <c r="L19">
        <f t="shared" si="1"/>
        <v>13.309374999999999</v>
      </c>
    </row>
    <row r="20" spans="1:12" x14ac:dyDescent="0.25">
      <c r="A20">
        <v>1723</v>
      </c>
      <c r="B20" t="s">
        <v>12</v>
      </c>
      <c r="C20" t="s">
        <v>118</v>
      </c>
      <c r="D20" t="s">
        <v>34</v>
      </c>
      <c r="J20">
        <f t="shared" si="0"/>
        <v>0</v>
      </c>
      <c r="L20">
        <f t="shared" si="1"/>
        <v>0</v>
      </c>
    </row>
    <row r="21" spans="1:12" x14ac:dyDescent="0.25">
      <c r="A21">
        <v>1723</v>
      </c>
      <c r="B21" t="s">
        <v>41</v>
      </c>
      <c r="C21" t="s">
        <v>118</v>
      </c>
      <c r="D21" t="s">
        <v>34</v>
      </c>
      <c r="J21">
        <f t="shared" si="0"/>
        <v>0</v>
      </c>
      <c r="L21">
        <f t="shared" si="1"/>
        <v>0</v>
      </c>
    </row>
    <row r="22" spans="1:12" x14ac:dyDescent="0.25">
      <c r="A22">
        <v>1723</v>
      </c>
      <c r="B22" t="s">
        <v>45</v>
      </c>
      <c r="C22" t="s">
        <v>118</v>
      </c>
      <c r="D22" t="s">
        <v>34</v>
      </c>
      <c r="J22">
        <f t="shared" si="0"/>
        <v>0</v>
      </c>
      <c r="L22">
        <f t="shared" si="1"/>
        <v>0</v>
      </c>
    </row>
    <row r="23" spans="1:12" x14ac:dyDescent="0.25">
      <c r="A23">
        <v>1723</v>
      </c>
      <c r="B23" t="s">
        <v>13</v>
      </c>
      <c r="C23" t="s">
        <v>118</v>
      </c>
      <c r="D23" t="s">
        <v>34</v>
      </c>
      <c r="H23">
        <v>2270</v>
      </c>
      <c r="J23">
        <f t="shared" si="0"/>
        <v>2270</v>
      </c>
      <c r="L23">
        <f t="shared" si="1"/>
        <v>1.0133928571428572</v>
      </c>
    </row>
    <row r="24" spans="1:12" x14ac:dyDescent="0.25">
      <c r="A24">
        <v>1723</v>
      </c>
      <c r="B24" t="s">
        <v>35</v>
      </c>
      <c r="C24" t="s">
        <v>118</v>
      </c>
      <c r="D24" t="s">
        <v>34</v>
      </c>
      <c r="J24">
        <f t="shared" si="0"/>
        <v>0</v>
      </c>
      <c r="L24">
        <f t="shared" si="1"/>
        <v>0</v>
      </c>
    </row>
    <row r="25" spans="1:12" x14ac:dyDescent="0.25">
      <c r="A25">
        <v>1723</v>
      </c>
      <c r="B25" t="s">
        <v>14</v>
      </c>
      <c r="C25" t="s">
        <v>118</v>
      </c>
      <c r="D25" t="s">
        <v>34</v>
      </c>
      <c r="J25">
        <f t="shared" si="0"/>
        <v>0</v>
      </c>
      <c r="L25">
        <f t="shared" si="1"/>
        <v>0</v>
      </c>
    </row>
    <row r="26" spans="1:12" x14ac:dyDescent="0.25">
      <c r="A26">
        <v>1723</v>
      </c>
      <c r="B26" t="s">
        <v>15</v>
      </c>
      <c r="C26" t="s">
        <v>118</v>
      </c>
      <c r="D26" t="s">
        <v>34</v>
      </c>
      <c r="J26">
        <f t="shared" ref="J26:J66" si="2">(E26*2240)+(F26*112)+(G26*28)+H26</f>
        <v>0</v>
      </c>
      <c r="L26">
        <f t="shared" si="1"/>
        <v>0</v>
      </c>
    </row>
    <row r="27" spans="1:12" x14ac:dyDescent="0.25">
      <c r="A27">
        <v>1723</v>
      </c>
      <c r="B27" t="s">
        <v>24</v>
      </c>
      <c r="C27" t="s">
        <v>118</v>
      </c>
      <c r="D27" t="s">
        <v>34</v>
      </c>
      <c r="J27">
        <f t="shared" si="2"/>
        <v>0</v>
      </c>
      <c r="L27">
        <f t="shared" si="1"/>
        <v>0</v>
      </c>
    </row>
    <row r="28" spans="1:12" x14ac:dyDescent="0.25">
      <c r="A28">
        <v>1723</v>
      </c>
      <c r="B28" t="s">
        <v>28</v>
      </c>
      <c r="C28" t="s">
        <v>118</v>
      </c>
      <c r="D28" t="s">
        <v>34</v>
      </c>
      <c r="J28">
        <f t="shared" si="2"/>
        <v>0</v>
      </c>
      <c r="L28">
        <f t="shared" ref="L28:L66" si="3">J28/2240</f>
        <v>0</v>
      </c>
    </row>
    <row r="29" spans="1:12" x14ac:dyDescent="0.25">
      <c r="A29">
        <v>1723</v>
      </c>
      <c r="B29" t="s">
        <v>16</v>
      </c>
      <c r="C29" t="s">
        <v>118</v>
      </c>
      <c r="D29" t="s">
        <v>34</v>
      </c>
      <c r="J29">
        <f t="shared" si="2"/>
        <v>0</v>
      </c>
      <c r="L29">
        <f t="shared" si="3"/>
        <v>0</v>
      </c>
    </row>
    <row r="30" spans="1:12" x14ac:dyDescent="0.25">
      <c r="A30">
        <v>1723</v>
      </c>
      <c r="B30" t="s">
        <v>43</v>
      </c>
      <c r="C30" t="s">
        <v>118</v>
      </c>
      <c r="D30" t="s">
        <v>34</v>
      </c>
      <c r="J30">
        <f t="shared" si="2"/>
        <v>0</v>
      </c>
      <c r="L30">
        <f t="shared" si="3"/>
        <v>0</v>
      </c>
    </row>
    <row r="31" spans="1:12" x14ac:dyDescent="0.25">
      <c r="A31">
        <v>1723</v>
      </c>
      <c r="B31" t="s">
        <v>48</v>
      </c>
      <c r="C31" t="s">
        <v>118</v>
      </c>
      <c r="D31" t="s">
        <v>34</v>
      </c>
      <c r="J31">
        <f t="shared" si="2"/>
        <v>0</v>
      </c>
      <c r="L31">
        <f t="shared" si="3"/>
        <v>0</v>
      </c>
    </row>
    <row r="32" spans="1:12" x14ac:dyDescent="0.25">
      <c r="A32">
        <v>1723</v>
      </c>
      <c r="B32" t="s">
        <v>17</v>
      </c>
      <c r="C32" t="s">
        <v>118</v>
      </c>
      <c r="D32" t="s">
        <v>34</v>
      </c>
      <c r="H32">
        <v>13100</v>
      </c>
      <c r="J32">
        <f t="shared" si="2"/>
        <v>13100</v>
      </c>
      <c r="L32">
        <f t="shared" si="3"/>
        <v>5.8482142857142856</v>
      </c>
    </row>
    <row r="33" spans="1:12" x14ac:dyDescent="0.25">
      <c r="A33">
        <v>1723</v>
      </c>
      <c r="B33" t="s">
        <v>18</v>
      </c>
      <c r="C33" t="s">
        <v>118</v>
      </c>
      <c r="D33" t="s">
        <v>34</v>
      </c>
      <c r="F33">
        <v>3</v>
      </c>
      <c r="J33">
        <f t="shared" si="2"/>
        <v>336</v>
      </c>
      <c r="L33">
        <f t="shared" si="3"/>
        <v>0.15</v>
      </c>
    </row>
    <row r="34" spans="1:12" x14ac:dyDescent="0.25">
      <c r="A34">
        <v>1723</v>
      </c>
      <c r="B34" t="s">
        <v>19</v>
      </c>
      <c r="C34" t="s">
        <v>118</v>
      </c>
      <c r="D34" t="s">
        <v>34</v>
      </c>
      <c r="J34">
        <f t="shared" si="2"/>
        <v>0</v>
      </c>
      <c r="L34">
        <f t="shared" si="3"/>
        <v>0</v>
      </c>
    </row>
    <row r="35" spans="1:12" x14ac:dyDescent="0.25">
      <c r="A35">
        <v>1723</v>
      </c>
      <c r="B35" t="s">
        <v>71</v>
      </c>
      <c r="C35" t="s">
        <v>118</v>
      </c>
      <c r="D35" t="s">
        <v>34</v>
      </c>
      <c r="J35">
        <f t="shared" si="2"/>
        <v>0</v>
      </c>
      <c r="L35">
        <f t="shared" si="3"/>
        <v>0</v>
      </c>
    </row>
    <row r="36" spans="1:12" x14ac:dyDescent="0.25">
      <c r="A36">
        <v>1723</v>
      </c>
      <c r="B36" t="s">
        <v>20</v>
      </c>
      <c r="C36" t="s">
        <v>118</v>
      </c>
      <c r="D36" t="s">
        <v>34</v>
      </c>
      <c r="F36">
        <v>3</v>
      </c>
      <c r="J36">
        <f t="shared" si="2"/>
        <v>336</v>
      </c>
      <c r="L36">
        <f t="shared" si="3"/>
        <v>0.15</v>
      </c>
    </row>
    <row r="37" spans="1:12" x14ac:dyDescent="0.25">
      <c r="A37">
        <v>1723</v>
      </c>
      <c r="B37" t="s">
        <v>46</v>
      </c>
      <c r="C37" t="s">
        <v>118</v>
      </c>
      <c r="D37" t="s">
        <v>34</v>
      </c>
      <c r="H37">
        <v>2030</v>
      </c>
      <c r="J37">
        <f t="shared" si="2"/>
        <v>2030</v>
      </c>
      <c r="L37">
        <f t="shared" si="3"/>
        <v>0.90625</v>
      </c>
    </row>
    <row r="38" spans="1:12" x14ac:dyDescent="0.25">
      <c r="A38">
        <v>1723</v>
      </c>
      <c r="B38" t="s">
        <v>55</v>
      </c>
      <c r="C38" t="s">
        <v>118</v>
      </c>
      <c r="D38" t="s">
        <v>34</v>
      </c>
      <c r="H38">
        <v>104</v>
      </c>
      <c r="J38">
        <f t="shared" si="2"/>
        <v>104</v>
      </c>
      <c r="L38">
        <f t="shared" si="3"/>
        <v>4.642857142857143E-2</v>
      </c>
    </row>
    <row r="39" spans="1:12" x14ac:dyDescent="0.25">
      <c r="A39">
        <v>1723</v>
      </c>
      <c r="B39" t="s">
        <v>21</v>
      </c>
      <c r="C39" t="s">
        <v>118</v>
      </c>
      <c r="D39" t="s">
        <v>34</v>
      </c>
      <c r="J39">
        <f t="shared" si="2"/>
        <v>0</v>
      </c>
      <c r="L39">
        <f t="shared" si="3"/>
        <v>0</v>
      </c>
    </row>
    <row r="40" spans="1:12" x14ac:dyDescent="0.25">
      <c r="A40">
        <v>1723</v>
      </c>
      <c r="B40" t="s">
        <v>22</v>
      </c>
      <c r="C40" t="s">
        <v>118</v>
      </c>
      <c r="D40" t="s">
        <v>34</v>
      </c>
      <c r="H40">
        <v>140</v>
      </c>
      <c r="J40">
        <f t="shared" si="2"/>
        <v>140</v>
      </c>
      <c r="L40">
        <f t="shared" si="3"/>
        <v>6.25E-2</v>
      </c>
    </row>
    <row r="41" spans="1:12" x14ac:dyDescent="0.25">
      <c r="A41">
        <v>1723</v>
      </c>
      <c r="B41" t="s">
        <v>23</v>
      </c>
      <c r="C41" t="s">
        <v>118</v>
      </c>
      <c r="D41" t="s">
        <v>34</v>
      </c>
      <c r="J41">
        <f t="shared" si="2"/>
        <v>0</v>
      </c>
      <c r="L41">
        <f t="shared" si="3"/>
        <v>0</v>
      </c>
    </row>
    <row r="42" spans="1:12" x14ac:dyDescent="0.25">
      <c r="A42">
        <v>1723</v>
      </c>
      <c r="B42" t="s">
        <v>62</v>
      </c>
      <c r="C42" t="s">
        <v>118</v>
      </c>
      <c r="D42" t="s">
        <v>34</v>
      </c>
      <c r="J42">
        <f t="shared" si="2"/>
        <v>0</v>
      </c>
      <c r="L42">
        <f t="shared" si="3"/>
        <v>0</v>
      </c>
    </row>
    <row r="43" spans="1:12" x14ac:dyDescent="0.25">
      <c r="A43">
        <v>1723</v>
      </c>
      <c r="B43" t="s">
        <v>63</v>
      </c>
      <c r="C43" t="s">
        <v>118</v>
      </c>
      <c r="D43" t="s">
        <v>34</v>
      </c>
      <c r="E43">
        <v>3</v>
      </c>
      <c r="J43">
        <f t="shared" si="2"/>
        <v>6720</v>
      </c>
      <c r="L43">
        <f t="shared" si="3"/>
        <v>3</v>
      </c>
    </row>
    <row r="44" spans="1:12" x14ac:dyDescent="0.25">
      <c r="A44">
        <v>1723</v>
      </c>
      <c r="B44" t="s">
        <v>64</v>
      </c>
      <c r="C44" t="s">
        <v>118</v>
      </c>
      <c r="D44" t="s">
        <v>34</v>
      </c>
      <c r="E44">
        <v>340</v>
      </c>
      <c r="J44">
        <f t="shared" si="2"/>
        <v>761600</v>
      </c>
      <c r="L44">
        <f t="shared" si="3"/>
        <v>340</v>
      </c>
    </row>
    <row r="45" spans="1:12" x14ac:dyDescent="0.25">
      <c r="A45">
        <v>1723</v>
      </c>
      <c r="B45" t="s">
        <v>72</v>
      </c>
      <c r="C45" t="s">
        <v>118</v>
      </c>
      <c r="D45" t="s">
        <v>34</v>
      </c>
      <c r="E45">
        <v>14</v>
      </c>
      <c r="J45">
        <f t="shared" si="2"/>
        <v>31360</v>
      </c>
      <c r="L45">
        <f t="shared" si="3"/>
        <v>14</v>
      </c>
    </row>
    <row r="46" spans="1:12" x14ac:dyDescent="0.25">
      <c r="A46">
        <v>1723</v>
      </c>
      <c r="B46" t="s">
        <v>65</v>
      </c>
      <c r="C46" t="s">
        <v>118</v>
      </c>
      <c r="D46" t="s">
        <v>34</v>
      </c>
      <c r="J46">
        <f t="shared" si="2"/>
        <v>0</v>
      </c>
      <c r="L46">
        <f t="shared" si="3"/>
        <v>0</v>
      </c>
    </row>
    <row r="47" spans="1:12" x14ac:dyDescent="0.25">
      <c r="A47">
        <v>1723</v>
      </c>
      <c r="B47" t="s">
        <v>66</v>
      </c>
      <c r="C47" t="s">
        <v>118</v>
      </c>
      <c r="D47" t="s">
        <v>34</v>
      </c>
      <c r="J47">
        <f t="shared" si="2"/>
        <v>0</v>
      </c>
      <c r="L47">
        <f t="shared" si="3"/>
        <v>0</v>
      </c>
    </row>
    <row r="48" spans="1:12" x14ac:dyDescent="0.25">
      <c r="A48">
        <v>1723</v>
      </c>
      <c r="B48" t="s">
        <v>6</v>
      </c>
      <c r="C48" t="s">
        <v>118</v>
      </c>
      <c r="D48" t="s">
        <v>36</v>
      </c>
      <c r="F48">
        <v>1</v>
      </c>
      <c r="J48">
        <f t="shared" si="2"/>
        <v>112</v>
      </c>
      <c r="L48">
        <f t="shared" si="3"/>
        <v>0.05</v>
      </c>
    </row>
    <row r="49" spans="1:12" x14ac:dyDescent="0.25">
      <c r="A49">
        <v>1723</v>
      </c>
      <c r="B49" t="s">
        <v>8</v>
      </c>
      <c r="C49" t="s">
        <v>118</v>
      </c>
      <c r="D49" t="s">
        <v>36</v>
      </c>
      <c r="J49">
        <f t="shared" si="2"/>
        <v>0</v>
      </c>
      <c r="L49">
        <f t="shared" si="3"/>
        <v>0</v>
      </c>
    </row>
    <row r="50" spans="1:12" x14ac:dyDescent="0.25">
      <c r="A50">
        <v>1723</v>
      </c>
      <c r="B50" t="s">
        <v>9</v>
      </c>
      <c r="C50" t="s">
        <v>118</v>
      </c>
      <c r="D50" t="s">
        <v>36</v>
      </c>
      <c r="J50">
        <f t="shared" si="2"/>
        <v>0</v>
      </c>
      <c r="L50">
        <f t="shared" si="3"/>
        <v>0</v>
      </c>
    </row>
    <row r="51" spans="1:12" x14ac:dyDescent="0.25">
      <c r="A51">
        <v>1723</v>
      </c>
      <c r="B51" t="s">
        <v>10</v>
      </c>
      <c r="C51" t="s">
        <v>118</v>
      </c>
      <c r="D51" t="s">
        <v>36</v>
      </c>
      <c r="J51">
        <f t="shared" si="2"/>
        <v>0</v>
      </c>
      <c r="L51">
        <f t="shared" si="3"/>
        <v>0</v>
      </c>
    </row>
    <row r="52" spans="1:12" x14ac:dyDescent="0.25">
      <c r="A52">
        <v>1723</v>
      </c>
      <c r="B52" t="s">
        <v>11</v>
      </c>
      <c r="C52" t="s">
        <v>118</v>
      </c>
      <c r="D52" t="s">
        <v>36</v>
      </c>
      <c r="J52">
        <f t="shared" si="2"/>
        <v>0</v>
      </c>
      <c r="L52">
        <f t="shared" si="3"/>
        <v>0</v>
      </c>
    </row>
    <row r="53" spans="1:12" x14ac:dyDescent="0.25">
      <c r="A53">
        <v>1723</v>
      </c>
      <c r="B53" t="s">
        <v>12</v>
      </c>
      <c r="C53" t="s">
        <v>118</v>
      </c>
      <c r="D53" t="s">
        <v>36</v>
      </c>
      <c r="F53">
        <v>1</v>
      </c>
      <c r="G53">
        <v>1</v>
      </c>
      <c r="H53">
        <v>10</v>
      </c>
      <c r="J53">
        <f t="shared" si="2"/>
        <v>150</v>
      </c>
      <c r="L53">
        <f t="shared" si="3"/>
        <v>6.6964285714285712E-2</v>
      </c>
    </row>
    <row r="54" spans="1:12" x14ac:dyDescent="0.25">
      <c r="A54">
        <v>1723</v>
      </c>
      <c r="B54" t="s">
        <v>13</v>
      </c>
      <c r="C54" t="s">
        <v>118</v>
      </c>
      <c r="D54" t="s">
        <v>36</v>
      </c>
      <c r="J54">
        <f t="shared" si="2"/>
        <v>0</v>
      </c>
      <c r="L54">
        <f t="shared" si="3"/>
        <v>0</v>
      </c>
    </row>
    <row r="55" spans="1:12" x14ac:dyDescent="0.25">
      <c r="A55">
        <v>1723</v>
      </c>
      <c r="B55" t="s">
        <v>14</v>
      </c>
      <c r="C55" t="s">
        <v>118</v>
      </c>
      <c r="D55" t="s">
        <v>36</v>
      </c>
      <c r="J55">
        <f t="shared" si="2"/>
        <v>0</v>
      </c>
      <c r="L55">
        <f t="shared" si="3"/>
        <v>0</v>
      </c>
    </row>
    <row r="56" spans="1:12" x14ac:dyDescent="0.25">
      <c r="A56">
        <v>1723</v>
      </c>
      <c r="B56" t="s">
        <v>15</v>
      </c>
      <c r="C56" t="s">
        <v>118</v>
      </c>
      <c r="D56" t="s">
        <v>36</v>
      </c>
      <c r="J56">
        <f t="shared" si="2"/>
        <v>0</v>
      </c>
      <c r="L56">
        <f t="shared" si="3"/>
        <v>0</v>
      </c>
    </row>
    <row r="57" spans="1:12" x14ac:dyDescent="0.25">
      <c r="A57">
        <v>1723</v>
      </c>
      <c r="B57" t="s">
        <v>28</v>
      </c>
      <c r="C57" t="s">
        <v>118</v>
      </c>
      <c r="D57" t="s">
        <v>36</v>
      </c>
      <c r="J57">
        <f t="shared" si="2"/>
        <v>0</v>
      </c>
      <c r="L57">
        <f t="shared" si="3"/>
        <v>0</v>
      </c>
    </row>
    <row r="58" spans="1:12" x14ac:dyDescent="0.25">
      <c r="A58">
        <v>1723</v>
      </c>
      <c r="B58" t="s">
        <v>16</v>
      </c>
      <c r="C58" t="s">
        <v>118</v>
      </c>
      <c r="D58" t="s">
        <v>36</v>
      </c>
      <c r="J58">
        <f t="shared" si="2"/>
        <v>0</v>
      </c>
      <c r="L58">
        <f t="shared" si="3"/>
        <v>0</v>
      </c>
    </row>
    <row r="59" spans="1:12" x14ac:dyDescent="0.25">
      <c r="A59">
        <v>1723</v>
      </c>
      <c r="B59" t="s">
        <v>18</v>
      </c>
      <c r="C59" t="s">
        <v>118</v>
      </c>
      <c r="D59" t="s">
        <v>36</v>
      </c>
      <c r="F59">
        <v>2606</v>
      </c>
      <c r="G59">
        <v>1</v>
      </c>
      <c r="H59">
        <v>8</v>
      </c>
      <c r="J59">
        <f t="shared" si="2"/>
        <v>291908</v>
      </c>
      <c r="L59">
        <f t="shared" si="3"/>
        <v>130.31607142857143</v>
      </c>
    </row>
    <row r="60" spans="1:12" x14ac:dyDescent="0.25">
      <c r="A60">
        <v>1723</v>
      </c>
      <c r="B60" t="s">
        <v>19</v>
      </c>
      <c r="C60" t="s">
        <v>118</v>
      </c>
      <c r="D60" t="s">
        <v>36</v>
      </c>
      <c r="H60">
        <v>469</v>
      </c>
      <c r="I60" t="s">
        <v>119</v>
      </c>
      <c r="J60">
        <f t="shared" si="2"/>
        <v>469</v>
      </c>
      <c r="L60">
        <f t="shared" si="3"/>
        <v>0.20937500000000001</v>
      </c>
    </row>
    <row r="61" spans="1:12" x14ac:dyDescent="0.25">
      <c r="A61">
        <v>1723</v>
      </c>
      <c r="B61" t="s">
        <v>117</v>
      </c>
      <c r="C61" t="s">
        <v>118</v>
      </c>
      <c r="D61" t="s">
        <v>36</v>
      </c>
      <c r="F61">
        <v>40</v>
      </c>
      <c r="J61">
        <f t="shared" si="2"/>
        <v>4480</v>
      </c>
      <c r="L61">
        <f t="shared" si="3"/>
        <v>2</v>
      </c>
    </row>
    <row r="62" spans="1:12" x14ac:dyDescent="0.25">
      <c r="A62">
        <v>1723</v>
      </c>
      <c r="B62" t="s">
        <v>20</v>
      </c>
      <c r="C62" t="s">
        <v>118</v>
      </c>
      <c r="D62" t="s">
        <v>36</v>
      </c>
      <c r="J62">
        <f t="shared" si="2"/>
        <v>0</v>
      </c>
      <c r="L62">
        <f t="shared" si="3"/>
        <v>0</v>
      </c>
    </row>
    <row r="63" spans="1:12" x14ac:dyDescent="0.25">
      <c r="A63">
        <v>1723</v>
      </c>
      <c r="B63" t="s">
        <v>55</v>
      </c>
      <c r="C63" t="s">
        <v>118</v>
      </c>
      <c r="D63" t="s">
        <v>36</v>
      </c>
      <c r="H63">
        <v>84</v>
      </c>
      <c r="J63">
        <f t="shared" si="2"/>
        <v>84</v>
      </c>
      <c r="L63">
        <f t="shared" si="3"/>
        <v>3.7499999999999999E-2</v>
      </c>
    </row>
    <row r="64" spans="1:12" x14ac:dyDescent="0.25">
      <c r="A64">
        <v>1723</v>
      </c>
      <c r="B64" t="s">
        <v>22</v>
      </c>
      <c r="C64" t="s">
        <v>118</v>
      </c>
      <c r="D64" t="s">
        <v>36</v>
      </c>
      <c r="J64">
        <f t="shared" si="2"/>
        <v>0</v>
      </c>
      <c r="L64">
        <f t="shared" si="3"/>
        <v>0</v>
      </c>
    </row>
    <row r="65" spans="1:12" x14ac:dyDescent="0.25">
      <c r="A65">
        <v>1723</v>
      </c>
      <c r="B65" t="s">
        <v>23</v>
      </c>
      <c r="C65" t="s">
        <v>118</v>
      </c>
      <c r="D65" t="s">
        <v>36</v>
      </c>
      <c r="J65">
        <f t="shared" si="2"/>
        <v>0</v>
      </c>
      <c r="L65">
        <f t="shared" si="3"/>
        <v>0</v>
      </c>
    </row>
    <row r="66" spans="1:12" x14ac:dyDescent="0.25">
      <c r="A66">
        <v>1723</v>
      </c>
      <c r="B66" t="s">
        <v>63</v>
      </c>
      <c r="C66" t="s">
        <v>118</v>
      </c>
      <c r="D66" t="s">
        <v>36</v>
      </c>
      <c r="J66">
        <f t="shared" si="2"/>
        <v>0</v>
      </c>
      <c r="L66">
        <f t="shared" si="3"/>
        <v>0</v>
      </c>
    </row>
    <row r="67" spans="1:12" x14ac:dyDescent="0.25">
      <c r="J67">
        <f t="shared" ref="J67" si="4">(E67*2240)+(F67*112)+(G67*28)+H67</f>
        <v>0</v>
      </c>
      <c r="L67">
        <f t="shared" ref="L67" si="5">J67/2240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6" ma:contentTypeDescription="Create a new document." ma:contentTypeScope="" ma:versionID="603e91c72b62c964620858d3caac070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bdb3fa76c8d7c99816ad06ce9ee87077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29A19B-85CE-4C32-9BBC-1B43CCF531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33E1B7-21CC-45EE-91A3-50AA8A75DD3F}">
  <ds:schemaRefs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cefc4363-6422-4cdd-96f6-49f865293ffe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2B1D82-A6B9-436D-AB3E-60263D3A73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 Goods Sheet</vt:lpstr>
      <vt:lpstr>Antigua</vt:lpstr>
      <vt:lpstr>Barbados</vt:lpstr>
      <vt:lpstr>Bermuda</vt:lpstr>
      <vt:lpstr>Jamaica</vt:lpstr>
      <vt:lpstr>Mountserat</vt:lpstr>
      <vt:lpstr>Nevis</vt:lpstr>
      <vt:lpstr>St Kitts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2025-04-29T19:07:30Z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