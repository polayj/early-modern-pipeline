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97" documentId="8_{37A5D950-2F9E-437C-A628-DBA7EA61DDA4}" xr6:coauthVersionLast="47" xr6:coauthVersionMax="47" xr10:uidLastSave="{33C806C8-5C06-4053-8C50-E8313B21A459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Barbados!$A$1:$N$54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8" l="1"/>
  <c r="H19" i="8"/>
  <c r="H54" i="7"/>
  <c r="H18" i="7"/>
  <c r="H53" i="6"/>
  <c r="H19" i="6"/>
  <c r="H84" i="5"/>
  <c r="H22" i="5"/>
  <c r="H66" i="3"/>
  <c r="H19" i="3"/>
  <c r="H37" i="2"/>
  <c r="H9" i="2"/>
  <c r="L61" i="6"/>
  <c r="J61" i="6"/>
  <c r="H92" i="5"/>
  <c r="J60" i="2"/>
  <c r="L60" i="2"/>
  <c r="J48" i="2"/>
  <c r="L48" i="2" s="1"/>
  <c r="L23" i="8"/>
  <c r="J23" i="8"/>
  <c r="L44" i="7"/>
  <c r="J44" i="7"/>
  <c r="J19" i="6"/>
  <c r="L19" i="6" s="1"/>
  <c r="L62" i="5"/>
  <c r="J62" i="5"/>
  <c r="L23" i="3"/>
  <c r="J23" i="3"/>
  <c r="J17" i="3"/>
  <c r="L17" i="3" s="1"/>
  <c r="J9" i="2"/>
  <c r="L9" i="2" s="1"/>
  <c r="L13" i="2"/>
  <c r="J13" i="2"/>
  <c r="L36" i="2"/>
  <c r="L46" i="2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10" i="2"/>
  <c r="L10" i="2" s="1"/>
  <c r="J11" i="2"/>
  <c r="L11" i="2" s="1"/>
  <c r="J12" i="2"/>
  <c r="L12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2" i="2"/>
  <c r="L32" i="2" s="1"/>
  <c r="J33" i="2"/>
  <c r="L33" i="2" s="1"/>
  <c r="J34" i="2"/>
  <c r="L34" i="2" s="1"/>
  <c r="J35" i="2"/>
  <c r="L35" i="2" s="1"/>
  <c r="J36" i="2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J47" i="2"/>
  <c r="L47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1" i="2"/>
  <c r="L61" i="2" s="1"/>
  <c r="J62" i="2"/>
  <c r="L62" i="2" s="1"/>
  <c r="L50" i="3"/>
  <c r="L54" i="3"/>
  <c r="L59" i="3"/>
  <c r="L62" i="3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8" i="3"/>
  <c r="L18" i="3" s="1"/>
  <c r="J19" i="3"/>
  <c r="L19" i="3" s="1"/>
  <c r="J20" i="3"/>
  <c r="L20" i="3" s="1"/>
  <c r="J21" i="3"/>
  <c r="L21" i="3" s="1"/>
  <c r="J22" i="3"/>
  <c r="L22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J51" i="3"/>
  <c r="L51" i="3" s="1"/>
  <c r="J52" i="3"/>
  <c r="L52" i="3" s="1"/>
  <c r="J53" i="3"/>
  <c r="L53" i="3" s="1"/>
  <c r="J54" i="3"/>
  <c r="J55" i="3"/>
  <c r="L55" i="3" s="1"/>
  <c r="J56" i="3"/>
  <c r="L56" i="3" s="1"/>
  <c r="J57" i="3"/>
  <c r="L57" i="3" s="1"/>
  <c r="J58" i="3"/>
  <c r="L58" i="3" s="1"/>
  <c r="J59" i="3"/>
  <c r="J60" i="3"/>
  <c r="L60" i="3" s="1"/>
  <c r="J61" i="3"/>
  <c r="L61" i="3" s="1"/>
  <c r="J62" i="3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L3" i="4"/>
  <c r="L4" i="4"/>
  <c r="L5" i="4"/>
  <c r="L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J3" i="4"/>
  <c r="J4" i="4"/>
  <c r="J5" i="4"/>
  <c r="J6" i="4"/>
  <c r="J7" i="4"/>
  <c r="L7" i="4" s="1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L3" i="5"/>
  <c r="L9" i="5"/>
  <c r="L10" i="5"/>
  <c r="L11" i="5"/>
  <c r="L15" i="5"/>
  <c r="L44" i="5"/>
  <c r="L50" i="5"/>
  <c r="L51" i="5"/>
  <c r="L58" i="5"/>
  <c r="L65" i="5"/>
  <c r="L66" i="5"/>
  <c r="L67" i="5"/>
  <c r="L68" i="5"/>
  <c r="L69" i="5"/>
  <c r="L74" i="5"/>
  <c r="L76" i="5"/>
  <c r="L81" i="5"/>
  <c r="L82" i="5"/>
  <c r="L83" i="5"/>
  <c r="L90" i="5"/>
  <c r="L91" i="5"/>
  <c r="L97" i="5"/>
  <c r="L99" i="5"/>
  <c r="L100" i="5"/>
  <c r="L101" i="5"/>
  <c r="L106" i="5"/>
  <c r="L107" i="5"/>
  <c r="L108" i="5"/>
  <c r="L113" i="5"/>
  <c r="L114" i="5"/>
  <c r="L116" i="5"/>
  <c r="L117" i="5"/>
  <c r="L122" i="5"/>
  <c r="J3" i="5"/>
  <c r="J4" i="5"/>
  <c r="L4" i="5" s="1"/>
  <c r="J5" i="5"/>
  <c r="L5" i="5" s="1"/>
  <c r="J6" i="5"/>
  <c r="L6" i="5" s="1"/>
  <c r="J7" i="5"/>
  <c r="L7" i="5" s="1"/>
  <c r="J8" i="5"/>
  <c r="L8" i="5" s="1"/>
  <c r="J9" i="5"/>
  <c r="J10" i="5"/>
  <c r="J11" i="5"/>
  <c r="J12" i="5"/>
  <c r="L12" i="5" s="1"/>
  <c r="J13" i="5"/>
  <c r="L13" i="5" s="1"/>
  <c r="J14" i="5"/>
  <c r="L14" i="5" s="1"/>
  <c r="J15" i="5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J45" i="5"/>
  <c r="L45" i="5" s="1"/>
  <c r="J46" i="5"/>
  <c r="L46" i="5" s="1"/>
  <c r="J47" i="5"/>
  <c r="L47" i="5" s="1"/>
  <c r="J48" i="5"/>
  <c r="L48" i="5" s="1"/>
  <c r="J49" i="5"/>
  <c r="L49" i="5" s="1"/>
  <c r="J50" i="5"/>
  <c r="J51" i="5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J59" i="5"/>
  <c r="L59" i="5" s="1"/>
  <c r="J60" i="5"/>
  <c r="L60" i="5" s="1"/>
  <c r="J61" i="5"/>
  <c r="L61" i="5" s="1"/>
  <c r="J63" i="5"/>
  <c r="L63" i="5" s="1"/>
  <c r="J64" i="5"/>
  <c r="L64" i="5" s="1"/>
  <c r="J65" i="5"/>
  <c r="J66" i="5"/>
  <c r="J67" i="5"/>
  <c r="J68" i="5"/>
  <c r="J69" i="5"/>
  <c r="J70" i="5"/>
  <c r="L70" i="5" s="1"/>
  <c r="J71" i="5"/>
  <c r="L71" i="5" s="1"/>
  <c r="J72" i="5"/>
  <c r="L72" i="5" s="1"/>
  <c r="J73" i="5"/>
  <c r="L73" i="5" s="1"/>
  <c r="J74" i="5"/>
  <c r="J75" i="5"/>
  <c r="L75" i="5" s="1"/>
  <c r="J76" i="5"/>
  <c r="J77" i="5"/>
  <c r="L77" i="5" s="1"/>
  <c r="J78" i="5"/>
  <c r="L78" i="5" s="1"/>
  <c r="J79" i="5"/>
  <c r="L79" i="5" s="1"/>
  <c r="J80" i="5"/>
  <c r="L80" i="5" s="1"/>
  <c r="J81" i="5"/>
  <c r="J82" i="5"/>
  <c r="J83" i="5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J91" i="5"/>
  <c r="J92" i="5"/>
  <c r="L92" i="5" s="1"/>
  <c r="J93" i="5"/>
  <c r="L93" i="5" s="1"/>
  <c r="J94" i="5"/>
  <c r="L94" i="5" s="1"/>
  <c r="J95" i="5"/>
  <c r="L95" i="5" s="1"/>
  <c r="J96" i="5"/>
  <c r="L96" i="5" s="1"/>
  <c r="J97" i="5"/>
  <c r="J98" i="5"/>
  <c r="L98" i="5" s="1"/>
  <c r="J99" i="5"/>
  <c r="J100" i="5"/>
  <c r="J101" i="5"/>
  <c r="J102" i="5"/>
  <c r="L102" i="5" s="1"/>
  <c r="J103" i="5"/>
  <c r="L103" i="5" s="1"/>
  <c r="J104" i="5"/>
  <c r="L104" i="5" s="1"/>
  <c r="J105" i="5"/>
  <c r="L105" i="5" s="1"/>
  <c r="J106" i="5"/>
  <c r="J107" i="5"/>
  <c r="J108" i="5"/>
  <c r="J109" i="5"/>
  <c r="L109" i="5" s="1"/>
  <c r="J110" i="5"/>
  <c r="L110" i="5" s="1"/>
  <c r="J111" i="5"/>
  <c r="L111" i="5" s="1"/>
  <c r="J112" i="5"/>
  <c r="L112" i="5" s="1"/>
  <c r="J113" i="5"/>
  <c r="J114" i="5"/>
  <c r="J115" i="5"/>
  <c r="L115" i="5" s="1"/>
  <c r="J116" i="5"/>
  <c r="J117" i="5"/>
  <c r="J118" i="5"/>
  <c r="L118" i="5" s="1"/>
  <c r="J119" i="5"/>
  <c r="L119" i="5" s="1"/>
  <c r="J120" i="5"/>
  <c r="L120" i="5" s="1"/>
  <c r="J121" i="5"/>
  <c r="L121" i="5" s="1"/>
  <c r="J122" i="5"/>
  <c r="J123" i="5"/>
  <c r="L123" i="5" s="1"/>
  <c r="J124" i="5"/>
  <c r="L124" i="5" s="1"/>
  <c r="J125" i="5"/>
  <c r="L125" i="5" s="1"/>
  <c r="J126" i="5"/>
  <c r="L126" i="5" s="1"/>
  <c r="J127" i="5"/>
  <c r="L127" i="5" s="1"/>
  <c r="L3" i="6"/>
  <c r="L8" i="6"/>
  <c r="L10" i="6"/>
  <c r="L17" i="6"/>
  <c r="L18" i="6"/>
  <c r="L20" i="6"/>
  <c r="L22" i="6"/>
  <c r="L26" i="6"/>
  <c r="L28" i="6"/>
  <c r="L42" i="6"/>
  <c r="L48" i="6"/>
  <c r="L49" i="6"/>
  <c r="L58" i="6"/>
  <c r="L59" i="6"/>
  <c r="L65" i="6"/>
  <c r="L66" i="6"/>
  <c r="J3" i="6"/>
  <c r="J4" i="6"/>
  <c r="L4" i="6" s="1"/>
  <c r="J5" i="6"/>
  <c r="L5" i="6" s="1"/>
  <c r="J6" i="6"/>
  <c r="L6" i="6" s="1"/>
  <c r="J7" i="6"/>
  <c r="L7" i="6" s="1"/>
  <c r="J8" i="6"/>
  <c r="J9" i="6"/>
  <c r="L9" i="6" s="1"/>
  <c r="J10" i="6"/>
  <c r="J11" i="6"/>
  <c r="L11" i="6" s="1"/>
  <c r="J12" i="6"/>
  <c r="L12" i="6" s="1"/>
  <c r="J13" i="6"/>
  <c r="L13" i="6" s="1"/>
  <c r="J14" i="6"/>
  <c r="L14" i="6" s="1"/>
  <c r="J15" i="6"/>
  <c r="L15" i="6" s="1"/>
  <c r="J16" i="6"/>
  <c r="L16" i="6" s="1"/>
  <c r="J17" i="6"/>
  <c r="J18" i="6"/>
  <c r="J20" i="6"/>
  <c r="J21" i="6"/>
  <c r="L21" i="6" s="1"/>
  <c r="J22" i="6"/>
  <c r="J23" i="6"/>
  <c r="L23" i="6" s="1"/>
  <c r="J24" i="6"/>
  <c r="L24" i="6" s="1"/>
  <c r="J25" i="6"/>
  <c r="L25" i="6" s="1"/>
  <c r="J26" i="6"/>
  <c r="J27" i="6"/>
  <c r="L27" i="6" s="1"/>
  <c r="J28" i="6"/>
  <c r="J29" i="6"/>
  <c r="L29" i="6" s="1"/>
  <c r="J30" i="6"/>
  <c r="L30" i="6" s="1"/>
  <c r="J31" i="6"/>
  <c r="L31" i="6" s="1"/>
  <c r="J32" i="6"/>
  <c r="L32" i="6" s="1"/>
  <c r="J33" i="6"/>
  <c r="L33" i="6" s="1"/>
  <c r="J34" i="6"/>
  <c r="L34" i="6" s="1"/>
  <c r="J35" i="6"/>
  <c r="L35" i="6" s="1"/>
  <c r="J36" i="6"/>
  <c r="L36" i="6" s="1"/>
  <c r="J37" i="6"/>
  <c r="L37" i="6" s="1"/>
  <c r="J38" i="6"/>
  <c r="L38" i="6" s="1"/>
  <c r="J39" i="6"/>
  <c r="L39" i="6" s="1"/>
  <c r="J40" i="6"/>
  <c r="L40" i="6" s="1"/>
  <c r="J41" i="6"/>
  <c r="L41" i="6" s="1"/>
  <c r="J42" i="6"/>
  <c r="J43" i="6"/>
  <c r="L43" i="6" s="1"/>
  <c r="J44" i="6"/>
  <c r="L44" i="6" s="1"/>
  <c r="J45" i="6"/>
  <c r="L45" i="6" s="1"/>
  <c r="J46" i="6"/>
  <c r="L46" i="6" s="1"/>
  <c r="J47" i="6"/>
  <c r="L47" i="6" s="1"/>
  <c r="J48" i="6"/>
  <c r="J49" i="6"/>
  <c r="J50" i="6"/>
  <c r="L50" i="6" s="1"/>
  <c r="J51" i="6"/>
  <c r="L51" i="6" s="1"/>
  <c r="J52" i="6"/>
  <c r="L52" i="6" s="1"/>
  <c r="J53" i="6"/>
  <c r="L53" i="6" s="1"/>
  <c r="J54" i="6"/>
  <c r="L54" i="6" s="1"/>
  <c r="J55" i="6"/>
  <c r="L55" i="6" s="1"/>
  <c r="J56" i="6"/>
  <c r="L56" i="6" s="1"/>
  <c r="J57" i="6"/>
  <c r="L57" i="6" s="1"/>
  <c r="J58" i="6"/>
  <c r="J59" i="6"/>
  <c r="J60" i="6"/>
  <c r="L60" i="6" s="1"/>
  <c r="J62" i="6"/>
  <c r="L62" i="6" s="1"/>
  <c r="J63" i="6"/>
  <c r="L63" i="6" s="1"/>
  <c r="J64" i="6"/>
  <c r="L64" i="6" s="1"/>
  <c r="J65" i="6"/>
  <c r="J66" i="6"/>
  <c r="J67" i="6"/>
  <c r="L67" i="6" s="1"/>
  <c r="J68" i="6"/>
  <c r="L68" i="6" s="1"/>
  <c r="J69" i="6"/>
  <c r="L69" i="6" s="1"/>
  <c r="L4" i="7"/>
  <c r="L5" i="7"/>
  <c r="L6" i="7"/>
  <c r="L7" i="7"/>
  <c r="L14" i="7"/>
  <c r="L16" i="7"/>
  <c r="L21" i="7"/>
  <c r="L22" i="7"/>
  <c r="L23" i="7"/>
  <c r="L24" i="7"/>
  <c r="L26" i="7"/>
  <c r="L32" i="7"/>
  <c r="L33" i="7"/>
  <c r="L34" i="7"/>
  <c r="L47" i="7"/>
  <c r="L48" i="7"/>
  <c r="L53" i="7"/>
  <c r="L69" i="7"/>
  <c r="J3" i="7"/>
  <c r="L3" i="7" s="1"/>
  <c r="J4" i="7"/>
  <c r="J5" i="7"/>
  <c r="J6" i="7"/>
  <c r="J7" i="7"/>
  <c r="J8" i="7"/>
  <c r="L8" i="7" s="1"/>
  <c r="J9" i="7"/>
  <c r="L9" i="7" s="1"/>
  <c r="J10" i="7"/>
  <c r="L10" i="7" s="1"/>
  <c r="J11" i="7"/>
  <c r="L11" i="7" s="1"/>
  <c r="J12" i="7"/>
  <c r="L12" i="7" s="1"/>
  <c r="J13" i="7"/>
  <c r="L13" i="7" s="1"/>
  <c r="J14" i="7"/>
  <c r="J15" i="7"/>
  <c r="L15" i="7" s="1"/>
  <c r="J16" i="7"/>
  <c r="J17" i="7"/>
  <c r="L17" i="7" s="1"/>
  <c r="J18" i="7"/>
  <c r="L18" i="7" s="1"/>
  <c r="J19" i="7"/>
  <c r="L19" i="7" s="1"/>
  <c r="J20" i="7"/>
  <c r="L20" i="7" s="1"/>
  <c r="J21" i="7"/>
  <c r="J22" i="7"/>
  <c r="J23" i="7"/>
  <c r="J24" i="7"/>
  <c r="J25" i="7"/>
  <c r="L25" i="7" s="1"/>
  <c r="J26" i="7"/>
  <c r="J27" i="7"/>
  <c r="L27" i="7" s="1"/>
  <c r="J28" i="7"/>
  <c r="L28" i="7" s="1"/>
  <c r="J29" i="7"/>
  <c r="L29" i="7" s="1"/>
  <c r="J30" i="7"/>
  <c r="L30" i="7" s="1"/>
  <c r="J31" i="7"/>
  <c r="L31" i="7" s="1"/>
  <c r="J32" i="7"/>
  <c r="J33" i="7"/>
  <c r="J34" i="7"/>
  <c r="J35" i="7"/>
  <c r="L35" i="7" s="1"/>
  <c r="J36" i="7"/>
  <c r="L36" i="7" s="1"/>
  <c r="J37" i="7"/>
  <c r="L37" i="7" s="1"/>
  <c r="J38" i="7"/>
  <c r="L38" i="7" s="1"/>
  <c r="J39" i="7"/>
  <c r="L39" i="7" s="1"/>
  <c r="J40" i="7"/>
  <c r="L40" i="7" s="1"/>
  <c r="J41" i="7"/>
  <c r="L41" i="7" s="1"/>
  <c r="J42" i="7"/>
  <c r="L42" i="7" s="1"/>
  <c r="J43" i="7"/>
  <c r="L43" i="7" s="1"/>
  <c r="J45" i="7"/>
  <c r="L45" i="7" s="1"/>
  <c r="J46" i="7"/>
  <c r="L46" i="7" s="1"/>
  <c r="J47" i="7"/>
  <c r="J48" i="7"/>
  <c r="J49" i="7"/>
  <c r="L49" i="7" s="1"/>
  <c r="J50" i="7"/>
  <c r="L50" i="7" s="1"/>
  <c r="J51" i="7"/>
  <c r="L51" i="7" s="1"/>
  <c r="J52" i="7"/>
  <c r="L52" i="7" s="1"/>
  <c r="J53" i="7"/>
  <c r="J54" i="7"/>
  <c r="L54" i="7" s="1"/>
  <c r="J55" i="7"/>
  <c r="L55" i="7" s="1"/>
  <c r="J56" i="7"/>
  <c r="L56" i="7" s="1"/>
  <c r="J57" i="7"/>
  <c r="L57" i="7" s="1"/>
  <c r="J58" i="7"/>
  <c r="L58" i="7" s="1"/>
  <c r="J59" i="7"/>
  <c r="L59" i="7" s="1"/>
  <c r="J60" i="7"/>
  <c r="L60" i="7" s="1"/>
  <c r="J61" i="7"/>
  <c r="L61" i="7" s="1"/>
  <c r="J62" i="7"/>
  <c r="L62" i="7" s="1"/>
  <c r="J63" i="7"/>
  <c r="L63" i="7" s="1"/>
  <c r="J64" i="7"/>
  <c r="L64" i="7" s="1"/>
  <c r="J65" i="7"/>
  <c r="L65" i="7" s="1"/>
  <c r="J66" i="7"/>
  <c r="L66" i="7" s="1"/>
  <c r="J67" i="7"/>
  <c r="L67" i="7" s="1"/>
  <c r="J68" i="7"/>
  <c r="L68" i="7" s="1"/>
  <c r="J69" i="7"/>
  <c r="L12" i="8"/>
  <c r="L13" i="8"/>
  <c r="L28" i="8"/>
  <c r="L29" i="8"/>
  <c r="L31" i="8"/>
  <c r="L44" i="8"/>
  <c r="L45" i="8"/>
  <c r="L46" i="8"/>
  <c r="L53" i="8"/>
  <c r="L60" i="8"/>
  <c r="L62" i="8"/>
  <c r="L63" i="8"/>
  <c r="L69" i="8"/>
  <c r="J3" i="8"/>
  <c r="L3" i="8" s="1"/>
  <c r="J4" i="8"/>
  <c r="L4" i="8" s="1"/>
  <c r="J5" i="8"/>
  <c r="L5" i="8" s="1"/>
  <c r="J6" i="8"/>
  <c r="L6" i="8" s="1"/>
  <c r="J7" i="8"/>
  <c r="L7" i="8" s="1"/>
  <c r="J8" i="8"/>
  <c r="L8" i="8" s="1"/>
  <c r="J9" i="8"/>
  <c r="L9" i="8" s="1"/>
  <c r="J10" i="8"/>
  <c r="L10" i="8" s="1"/>
  <c r="J11" i="8"/>
  <c r="L11" i="8" s="1"/>
  <c r="J12" i="8"/>
  <c r="J13" i="8"/>
  <c r="J14" i="8"/>
  <c r="L14" i="8" s="1"/>
  <c r="J15" i="8"/>
  <c r="L15" i="8" s="1"/>
  <c r="J16" i="8"/>
  <c r="L16" i="8" s="1"/>
  <c r="J17" i="8"/>
  <c r="L17" i="8" s="1"/>
  <c r="J18" i="8"/>
  <c r="L18" i="8" s="1"/>
  <c r="J19" i="8"/>
  <c r="L19" i="8" s="1"/>
  <c r="J20" i="8"/>
  <c r="L20" i="8" s="1"/>
  <c r="J21" i="8"/>
  <c r="L21" i="8" s="1"/>
  <c r="J22" i="8"/>
  <c r="L22" i="8" s="1"/>
  <c r="J24" i="8"/>
  <c r="L24" i="8" s="1"/>
  <c r="J25" i="8"/>
  <c r="L25" i="8" s="1"/>
  <c r="J26" i="8"/>
  <c r="L26" i="8" s="1"/>
  <c r="J27" i="8"/>
  <c r="L27" i="8" s="1"/>
  <c r="J28" i="8"/>
  <c r="J29" i="8"/>
  <c r="J30" i="8"/>
  <c r="L30" i="8" s="1"/>
  <c r="J31" i="8"/>
  <c r="J32" i="8"/>
  <c r="L32" i="8" s="1"/>
  <c r="J33" i="8"/>
  <c r="L33" i="8" s="1"/>
  <c r="J34" i="8"/>
  <c r="L34" i="8" s="1"/>
  <c r="J35" i="8"/>
  <c r="L35" i="8" s="1"/>
  <c r="J36" i="8"/>
  <c r="L36" i="8" s="1"/>
  <c r="J37" i="8"/>
  <c r="L37" i="8" s="1"/>
  <c r="J38" i="8"/>
  <c r="L38" i="8" s="1"/>
  <c r="J39" i="8"/>
  <c r="L39" i="8" s="1"/>
  <c r="J40" i="8"/>
  <c r="L40" i="8" s="1"/>
  <c r="J41" i="8"/>
  <c r="L41" i="8" s="1"/>
  <c r="J42" i="8"/>
  <c r="L42" i="8" s="1"/>
  <c r="J43" i="8"/>
  <c r="L43" i="8" s="1"/>
  <c r="J44" i="8"/>
  <c r="J45" i="8"/>
  <c r="J46" i="8"/>
  <c r="J47" i="8"/>
  <c r="L47" i="8" s="1"/>
  <c r="J48" i="8"/>
  <c r="L48" i="8" s="1"/>
  <c r="J49" i="8"/>
  <c r="L49" i="8" s="1"/>
  <c r="J50" i="8"/>
  <c r="L50" i="8" s="1"/>
  <c r="J51" i="8"/>
  <c r="L51" i="8" s="1"/>
  <c r="J52" i="8"/>
  <c r="L52" i="8" s="1"/>
  <c r="J53" i="8"/>
  <c r="J54" i="8"/>
  <c r="L54" i="8" s="1"/>
  <c r="J55" i="8"/>
  <c r="L55" i="8" s="1"/>
  <c r="J56" i="8"/>
  <c r="L56" i="8" s="1"/>
  <c r="J57" i="8"/>
  <c r="L57" i="8" s="1"/>
  <c r="J58" i="8"/>
  <c r="L58" i="8" s="1"/>
  <c r="J59" i="8"/>
  <c r="L59" i="8" s="1"/>
  <c r="J60" i="8"/>
  <c r="J61" i="8"/>
  <c r="L61" i="8" s="1"/>
  <c r="J62" i="8"/>
  <c r="J63" i="8"/>
  <c r="J64" i="8"/>
  <c r="L64" i="8" s="1"/>
  <c r="J65" i="8"/>
  <c r="L65" i="8" s="1"/>
  <c r="J66" i="8"/>
  <c r="L66" i="8" s="1"/>
  <c r="J67" i="8"/>
  <c r="L67" i="8" s="1"/>
  <c r="J68" i="8"/>
  <c r="L68" i="8" s="1"/>
  <c r="J69" i="8"/>
  <c r="J70" i="8"/>
  <c r="L70" i="8" s="1"/>
  <c r="J71" i="8"/>
  <c r="L71" i="8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19" i="1" l="1"/>
  <c r="D21" i="1"/>
  <c r="D20" i="1"/>
  <c r="D12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<sst xmlns="http://schemas.openxmlformats.org/spreadsheetml/2006/main" count="2179" uniqueCount="159">
  <si>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</si>
  <si>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</si>
  <si>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</si>
  <si>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</si>
  <si>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</si>
  <si>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</si>
  <si>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</si>
  <si>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</si>
  <si>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</si>
  <si>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</si>
  <si>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</si>
  <si>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</si>
  <si>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</si>
  <si>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</si>
  <si>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</si>
  <si>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</si>
  <si>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</si>
  <si>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</si>
  <si>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</si>
  <si>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</si>
  <si>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</si>
  <si>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</si>
  <si>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</si>
  <si>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</si>
  <si>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</si>
  <si>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</si>
  <si>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</si>
  <si>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</si>
  <si>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</si>
  <si>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</si>
  <si>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</si>
  <si>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</si>
  <si>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</si>
  <si>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</si>
  <si>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</si>
  <si>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</si>
  <si>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</si>
  <si>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</si>
  <si>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</si>
  <si>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</si>
  <si>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</si>
  <si>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</si>
  <si>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</si>
  <si>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</si>
  <si>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</si>
  <si>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</si>
  <si>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</si>
  <si>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</si>
  <si>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</si>
  <si>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</si>
  <si>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</si>
  <si>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</si>
  <si>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</si>
  <si>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</si>
  <si>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</si>
  <si>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</si>
  <si>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</si>
  <si>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</si>
  <si>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</si>
  <si>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</si>
  <si>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</si>
  <si>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</si>
  <si>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</si>
  <si>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</si>
  <si>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</si>
  <si>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</si>
  <si>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</si>
  <si>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</si>
  <si>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</si>
  <si>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</si>
  <si>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</si>
  <si>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</si>
  <si>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</si>
  <si>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</si>
  <si>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</si>
  <si>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</si>
  <si>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</si>
  <si>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</si>
  <si>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</si>
  <si>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</si>
  <si>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</si>
  <si>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</si>
  <si>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</si>
  <si>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</si>
  <si>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</si>
  <si>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</si>
  <si>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</si>
  <si>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</si>
  <si>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</si>
  <si>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</si>
  <si>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</si>
  <si>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</si>
  <si>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</si>
  <si>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</si>
  <si>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</si>
  <si>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</si>
  <si>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</si>
  <si>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</si>
  <si>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</si>
  <si>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</si>
  <si>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</si>
  <si>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</si>
  <si>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</si>
  <si>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</si>
  <si>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</si>
  <si>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</si>
  <si>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Gum Guiaci</t>
  </si>
  <si>
    <t>Lemon Juice</t>
  </si>
  <si>
    <t>2g</t>
  </si>
  <si>
    <t>5g</t>
  </si>
  <si>
    <t>39.5g</t>
  </si>
  <si>
    <t>52308g</t>
  </si>
  <si>
    <t>1131bags</t>
  </si>
  <si>
    <t>121g</t>
  </si>
  <si>
    <t>12864.5g</t>
  </si>
  <si>
    <t>30t 16h</t>
  </si>
  <si>
    <t>65bags</t>
  </si>
  <si>
    <t>1t 2h 36g</t>
  </si>
  <si>
    <t>Jollop</t>
  </si>
  <si>
    <t>7971g</t>
  </si>
  <si>
    <t>43g</t>
  </si>
  <si>
    <t>146445.5g</t>
  </si>
  <si>
    <t>29t 2h 17g</t>
  </si>
  <si>
    <t>Wood, Pidgeonwood</t>
  </si>
  <si>
    <t>341bags</t>
  </si>
  <si>
    <t>702g</t>
  </si>
  <si>
    <t>1.5g</t>
  </si>
  <si>
    <t>8794g</t>
  </si>
  <si>
    <t>3h 33g</t>
  </si>
  <si>
    <t>132bags</t>
  </si>
  <si>
    <t>6g</t>
  </si>
  <si>
    <t>1126g</t>
  </si>
  <si>
    <t>3t 3h 15g</t>
  </si>
  <si>
    <t>Wood, Cedar</t>
  </si>
  <si>
    <t>88bags</t>
  </si>
  <si>
    <t>17g</t>
  </si>
  <si>
    <t>5745g</t>
  </si>
  <si>
    <t>4t 6g</t>
  </si>
  <si>
    <t>884bags</t>
  </si>
  <si>
    <t>49g</t>
  </si>
  <si>
    <t>4g</t>
  </si>
  <si>
    <t>1965.5g</t>
  </si>
  <si>
    <t>1t 35g</t>
  </si>
  <si>
    <t>1014bag</t>
  </si>
  <si>
    <t>2.25g</t>
  </si>
  <si>
    <t>997.25g</t>
  </si>
  <si>
    <t>3t 1h 34g</t>
  </si>
  <si>
    <t>727bags 30lb</t>
  </si>
  <si>
    <t>1481g</t>
  </si>
  <si>
    <t>3g</t>
  </si>
  <si>
    <t>17118.5g</t>
  </si>
  <si>
    <t>8t 41g</t>
  </si>
  <si>
    <t>819bags 170lb</t>
  </si>
  <si>
    <t>1385g</t>
  </si>
  <si>
    <t>48bags</t>
  </si>
  <si>
    <t>484.5g</t>
  </si>
  <si>
    <t>143bags 56lb</t>
  </si>
  <si>
    <t>430bags 82lb</t>
  </si>
  <si>
    <t>2h 12g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</si>
</sst>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H17" sqref="H1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0.26785714285714285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8.9285714285714281E-3</v>
      </c>
      <c r="D2">
        <f>B2+C2</f>
        <v>0.2767857142857143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1.8031250000000001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0.75</v>
      </c>
      <c r="D3">
        <f t="shared" ref="D3:D31" si="0">B3+C3</f>
        <v>2.5531250000000001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33498.26116071429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7290.8995535714294</v>
      </c>
      <c r="D4">
        <f t="shared" si="0"/>
        <v>40789.160714285717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147.19107142857141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7.2022321428571434</v>
      </c>
      <c r="D6">
        <f t="shared" si="0"/>
        <v>154.39330357142856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235.85312499999998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284.16875000000005</v>
      </c>
      <c r="D7">
        <f t="shared" si="0"/>
        <v>520.02187500000002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317.58035714285711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354.15089285714288</v>
      </c>
      <c r="D8">
        <f t="shared" si="0"/>
        <v>671.73125000000005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23.903124999999999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30.331696428571426</v>
      </c>
      <c r="D9">
        <f t="shared" si="0"/>
        <v>54.234821428571422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41.089732142857144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60.017410714285717</v>
      </c>
      <c r="D10">
        <f t="shared" si="0"/>
        <v>101.10714285714286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77.617857142857133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19.634374999999999</v>
      </c>
      <c r="D11">
        <f t="shared" si="0"/>
        <v>97.252232142857139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38.750892857142858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6.8325892857142856</v>
      </c>
      <c r="D12">
        <f t="shared" si="0"/>
        <v>45.583482142857143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0.48750000000000004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</v>
      </c>
      <c r="D13">
        <f t="shared" si="0"/>
        <v>0.48750000000000004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148.23616071428572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68.03125</v>
      </c>
      <c r="D14">
        <f t="shared" si="0"/>
        <v>216.26741071428572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9.0450892857142868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0.50535714285714284</v>
      </c>
      <c r="D15">
        <f t="shared" si="0"/>
        <v>9.5504464285714299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1014.9167410714286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100.23839285714284</v>
      </c>
      <c r="D16">
        <f t="shared" si="0"/>
        <v>1115.1551339285716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0.48125000000000001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1.9388392857142858</v>
      </c>
      <c r="D17">
        <f t="shared" si="0"/>
        <v>2.4200892857142859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2.2714285714285714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0.14017857142857143</v>
      </c>
      <c r="D18">
        <f t="shared" si="0"/>
        <v>2.4116071428571426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1.8151785714285715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</v>
      </c>
      <c r="D19">
        <f t="shared" si="0"/>
        <v>1.8151785714285715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1.2406250000000001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0.58526785714285712</v>
      </c>
      <c r="D20">
        <f t="shared" si="0"/>
        <v>1.8258928571428572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3.3017857142857143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3.3017857142857143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83.186383928571445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14.891517857142858</v>
      </c>
      <c r="D26">
        <f t="shared" si="0"/>
        <v>98.077901785714303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0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246.21741071428571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56.275446428571428</v>
      </c>
      <c r="D28">
        <f t="shared" si="0"/>
        <v>302.49285714285713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307.82187499999998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316.85892857142858</v>
      </c>
      <c r="D29">
        <f t="shared" si="0"/>
        <v>624.68080357142856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53.121428571428567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95.014732142857142</v>
      </c>
      <c r="D30">
        <f t="shared" si="0"/>
        <v>148.13616071428572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1</v>
      </c>
      <c r="D31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2"/>
  <sheetViews>
    <sheetView topLeftCell="A9" workbookViewId="0">
      <selection activeCell="H38" sqref="H38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1732</v>
      </c>
      <c r="B2" t="s">
        <v>38</v>
      </c>
      <c r="C2" t="s">
        <v>55</v>
      </c>
      <c r="D2" t="s">
        <v>33</v>
      </c>
      <c r="J2">
        <f t="shared" ref="J2:J62" si="0">(E2*2240)+(F2*112)+(G2*28)+H2</f>
        <v>0</v>
      </c>
      <c r="L2">
        <f t="shared" ref="L2:L62" si="1">J2/2240</f>
        <v>0</v>
      </c>
    </row>
    <row r="3" spans="1:15" x14ac:dyDescent="0.25">
      <c r="A3">
        <v>1732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1732</v>
      </c>
      <c r="B4" t="s">
        <v>5</v>
      </c>
      <c r="C4" t="s">
        <v>55</v>
      </c>
      <c r="D4" t="s">
        <v>33</v>
      </c>
      <c r="F4">
        <v>1</v>
      </c>
      <c r="G4">
        <v>2</v>
      </c>
      <c r="H4">
        <v>14</v>
      </c>
      <c r="J4">
        <f t="shared" si="0"/>
        <v>182</v>
      </c>
      <c r="L4">
        <f t="shared" si="1"/>
        <v>8.1250000000000003E-2</v>
      </c>
    </row>
    <row r="5" spans="1:15" x14ac:dyDescent="0.25">
      <c r="A5">
        <v>1732</v>
      </c>
      <c r="B5" t="s">
        <v>6</v>
      </c>
      <c r="C5" t="s">
        <v>55</v>
      </c>
      <c r="D5" t="s">
        <v>33</v>
      </c>
      <c r="F5">
        <v>122081</v>
      </c>
      <c r="G5">
        <v>2</v>
      </c>
      <c r="H5">
        <v>22</v>
      </c>
      <c r="J5">
        <f t="shared" si="0"/>
        <v>13673150</v>
      </c>
      <c r="L5">
        <f t="shared" si="1"/>
        <v>6104.0848214285716</v>
      </c>
    </row>
    <row r="6" spans="1:15" x14ac:dyDescent="0.25">
      <c r="A6">
        <v>1732</v>
      </c>
      <c r="B6" t="s">
        <v>7</v>
      </c>
      <c r="C6" t="s">
        <v>55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1732</v>
      </c>
      <c r="B7" t="s">
        <v>8</v>
      </c>
      <c r="C7" t="s">
        <v>55</v>
      </c>
      <c r="D7" t="s">
        <v>33</v>
      </c>
      <c r="F7">
        <v>43</v>
      </c>
      <c r="G7">
        <v>1</v>
      </c>
      <c r="H7">
        <v>23</v>
      </c>
      <c r="J7">
        <f t="shared" si="0"/>
        <v>4867</v>
      </c>
      <c r="L7">
        <f t="shared" si="1"/>
        <v>2.172767857142857</v>
      </c>
    </row>
    <row r="8" spans="1:15" x14ac:dyDescent="0.25">
      <c r="A8">
        <v>1732</v>
      </c>
      <c r="B8" t="s">
        <v>48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1732</v>
      </c>
      <c r="B9" t="s">
        <v>9</v>
      </c>
      <c r="C9" t="s">
        <v>55</v>
      </c>
      <c r="D9" t="s">
        <v>33</v>
      </c>
      <c r="H9">
        <f>1131*200+111</f>
        <v>226311</v>
      </c>
      <c r="I9" t="s">
        <v>112</v>
      </c>
      <c r="J9">
        <f t="shared" si="0"/>
        <v>226311</v>
      </c>
      <c r="L9">
        <f t="shared" si="1"/>
        <v>101.03169642857142</v>
      </c>
    </row>
    <row r="10" spans="1:15" x14ac:dyDescent="0.25">
      <c r="A10">
        <v>1732</v>
      </c>
      <c r="B10" t="s">
        <v>10</v>
      </c>
      <c r="C10" t="s">
        <v>55</v>
      </c>
      <c r="D10" t="s">
        <v>33</v>
      </c>
      <c r="F10">
        <v>391</v>
      </c>
      <c r="G10">
        <v>1</v>
      </c>
      <c r="H10">
        <v>17</v>
      </c>
      <c r="J10">
        <f t="shared" si="0"/>
        <v>43837</v>
      </c>
      <c r="L10">
        <f t="shared" si="1"/>
        <v>19.570089285714285</v>
      </c>
    </row>
    <row r="11" spans="1:15" x14ac:dyDescent="0.25">
      <c r="A11">
        <v>1732</v>
      </c>
      <c r="B11" t="s">
        <v>11</v>
      </c>
      <c r="C11" t="s">
        <v>55</v>
      </c>
      <c r="D11" t="s">
        <v>33</v>
      </c>
      <c r="F11">
        <v>27</v>
      </c>
      <c r="G11">
        <v>1</v>
      </c>
      <c r="H11">
        <v>3</v>
      </c>
      <c r="J11">
        <f t="shared" si="0"/>
        <v>3055</v>
      </c>
      <c r="L11">
        <f t="shared" si="1"/>
        <v>1.3638392857142858</v>
      </c>
    </row>
    <row r="12" spans="1:15" x14ac:dyDescent="0.25">
      <c r="A12">
        <v>1732</v>
      </c>
      <c r="B12" t="s">
        <v>41</v>
      </c>
      <c r="C12" t="s">
        <v>55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1732</v>
      </c>
      <c r="B13" t="s">
        <v>106</v>
      </c>
      <c r="C13" t="s">
        <v>55</v>
      </c>
      <c r="D13" t="s">
        <v>33</v>
      </c>
      <c r="H13">
        <v>26.5</v>
      </c>
      <c r="J13">
        <f t="shared" si="0"/>
        <v>26.5</v>
      </c>
      <c r="L13">
        <f t="shared" si="1"/>
        <v>1.1830357142857142E-2</v>
      </c>
    </row>
    <row r="14" spans="1:15" x14ac:dyDescent="0.25">
      <c r="A14">
        <v>1732</v>
      </c>
      <c r="B14" t="s">
        <v>12</v>
      </c>
      <c r="C14" t="s">
        <v>55</v>
      </c>
      <c r="D14" t="s">
        <v>33</v>
      </c>
      <c r="H14">
        <v>829</v>
      </c>
      <c r="J14">
        <f t="shared" si="0"/>
        <v>829</v>
      </c>
      <c r="L14">
        <f t="shared" si="1"/>
        <v>0.37008928571428573</v>
      </c>
    </row>
    <row r="15" spans="1:15" x14ac:dyDescent="0.25">
      <c r="A15">
        <v>1732</v>
      </c>
      <c r="B15" t="s">
        <v>107</v>
      </c>
      <c r="C15" t="s">
        <v>55</v>
      </c>
      <c r="D15" t="s">
        <v>33</v>
      </c>
      <c r="H15">
        <v>20</v>
      </c>
      <c r="I15" t="s">
        <v>108</v>
      </c>
      <c r="J15">
        <f t="shared" si="0"/>
        <v>20</v>
      </c>
      <c r="L15">
        <f t="shared" si="1"/>
        <v>8.9285714285714281E-3</v>
      </c>
    </row>
    <row r="16" spans="1:15" x14ac:dyDescent="0.25">
      <c r="A16">
        <v>1732</v>
      </c>
      <c r="B16" t="s">
        <v>13</v>
      </c>
      <c r="C16" t="s">
        <v>55</v>
      </c>
      <c r="D16" t="s">
        <v>33</v>
      </c>
      <c r="E16">
        <v>6</v>
      </c>
      <c r="F16">
        <v>11</v>
      </c>
      <c r="G16">
        <v>3</v>
      </c>
      <c r="H16">
        <v>13</v>
      </c>
      <c r="J16">
        <f t="shared" si="0"/>
        <v>14769</v>
      </c>
      <c r="L16">
        <f t="shared" si="1"/>
        <v>6.5933035714285717</v>
      </c>
    </row>
    <row r="17" spans="1:12" x14ac:dyDescent="0.25">
      <c r="A17">
        <v>1732</v>
      </c>
      <c r="B17" t="s">
        <v>14</v>
      </c>
      <c r="C17" t="s">
        <v>55</v>
      </c>
      <c r="D17" t="s">
        <v>33</v>
      </c>
      <c r="H17">
        <v>50</v>
      </c>
      <c r="I17" t="s">
        <v>109</v>
      </c>
      <c r="J17">
        <f t="shared" si="0"/>
        <v>50</v>
      </c>
      <c r="L17">
        <f t="shared" si="1"/>
        <v>2.2321428571428572E-2</v>
      </c>
    </row>
    <row r="18" spans="1:12" x14ac:dyDescent="0.25">
      <c r="A18">
        <v>1732</v>
      </c>
      <c r="B18" t="s">
        <v>27</v>
      </c>
      <c r="C18" t="s">
        <v>55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1732</v>
      </c>
      <c r="B19" t="s">
        <v>15</v>
      </c>
      <c r="C19" t="s">
        <v>55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1732</v>
      </c>
      <c r="B20" t="s">
        <v>49</v>
      </c>
      <c r="C20" t="s">
        <v>55</v>
      </c>
      <c r="D20" t="s">
        <v>33</v>
      </c>
      <c r="H20">
        <v>395</v>
      </c>
      <c r="I20" t="s">
        <v>110</v>
      </c>
      <c r="J20">
        <f t="shared" si="0"/>
        <v>395</v>
      </c>
      <c r="L20">
        <f t="shared" si="1"/>
        <v>0.17633928571428573</v>
      </c>
    </row>
    <row r="21" spans="1:12" x14ac:dyDescent="0.25">
      <c r="A21">
        <v>1732</v>
      </c>
      <c r="B21" t="s">
        <v>17</v>
      </c>
      <c r="C21" t="s">
        <v>55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1732</v>
      </c>
      <c r="B22" t="s">
        <v>18</v>
      </c>
      <c r="C22" t="s">
        <v>55</v>
      </c>
      <c r="D22" t="s">
        <v>33</v>
      </c>
      <c r="H22">
        <v>523214</v>
      </c>
      <c r="I22" t="s">
        <v>111</v>
      </c>
      <c r="J22">
        <f t="shared" si="0"/>
        <v>523214</v>
      </c>
      <c r="L22">
        <f t="shared" si="1"/>
        <v>233.57767857142858</v>
      </c>
    </row>
    <row r="23" spans="1:12" x14ac:dyDescent="0.25">
      <c r="A23">
        <v>1732</v>
      </c>
      <c r="B23" t="s">
        <v>19</v>
      </c>
      <c r="C23" t="s">
        <v>55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1732</v>
      </c>
      <c r="B24" t="s">
        <v>56</v>
      </c>
      <c r="C24" t="s">
        <v>55</v>
      </c>
      <c r="D24" t="s">
        <v>33</v>
      </c>
      <c r="H24">
        <v>1209</v>
      </c>
      <c r="J24">
        <f t="shared" si="0"/>
        <v>1209</v>
      </c>
      <c r="L24">
        <f t="shared" si="1"/>
        <v>0.53973214285714288</v>
      </c>
    </row>
    <row r="25" spans="1:12" x14ac:dyDescent="0.25">
      <c r="A25">
        <v>1732</v>
      </c>
      <c r="B25" t="s">
        <v>102</v>
      </c>
      <c r="C25" t="s">
        <v>55</v>
      </c>
      <c r="D25" t="s">
        <v>33</v>
      </c>
      <c r="H25">
        <v>328</v>
      </c>
      <c r="J25">
        <f t="shared" si="0"/>
        <v>328</v>
      </c>
      <c r="L25">
        <f t="shared" si="1"/>
        <v>0.14642857142857144</v>
      </c>
    </row>
    <row r="26" spans="1:12" x14ac:dyDescent="0.25">
      <c r="A26">
        <v>1732</v>
      </c>
      <c r="B26" t="s">
        <v>20</v>
      </c>
      <c r="C26" t="s">
        <v>55</v>
      </c>
      <c r="D26" t="s">
        <v>33</v>
      </c>
      <c r="H26">
        <v>466</v>
      </c>
      <c r="J26">
        <f t="shared" si="0"/>
        <v>466</v>
      </c>
      <c r="L26">
        <f t="shared" si="1"/>
        <v>0.2080357142857143</v>
      </c>
    </row>
    <row r="27" spans="1:12" x14ac:dyDescent="0.25">
      <c r="A27">
        <v>1732</v>
      </c>
      <c r="B27" t="s">
        <v>21</v>
      </c>
      <c r="C27" t="s">
        <v>55</v>
      </c>
      <c r="D27" t="s">
        <v>33</v>
      </c>
      <c r="H27">
        <v>26</v>
      </c>
      <c r="J27">
        <f t="shared" si="0"/>
        <v>26</v>
      </c>
      <c r="L27">
        <f t="shared" si="1"/>
        <v>1.1607142857142858E-2</v>
      </c>
    </row>
    <row r="28" spans="1:12" x14ac:dyDescent="0.25">
      <c r="A28">
        <v>1732</v>
      </c>
      <c r="B28" t="s">
        <v>94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1732</v>
      </c>
      <c r="B29" t="s">
        <v>22</v>
      </c>
      <c r="C29" t="s">
        <v>55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1732</v>
      </c>
      <c r="B30" t="s">
        <v>64</v>
      </c>
      <c r="C30" t="s">
        <v>55</v>
      </c>
      <c r="D30" t="s">
        <v>33</v>
      </c>
      <c r="E30">
        <v>55</v>
      </c>
      <c r="F30">
        <v>10</v>
      </c>
      <c r="G30">
        <v>2</v>
      </c>
      <c r="H30">
        <v>26</v>
      </c>
      <c r="J30">
        <f t="shared" si="0"/>
        <v>124402</v>
      </c>
      <c r="L30">
        <f t="shared" si="1"/>
        <v>55.536607142857143</v>
      </c>
    </row>
    <row r="31" spans="1:12" x14ac:dyDescent="0.25">
      <c r="A31">
        <v>1732</v>
      </c>
      <c r="B31" t="s">
        <v>93</v>
      </c>
      <c r="C31" t="s">
        <v>55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1732</v>
      </c>
      <c r="B32" t="s">
        <v>66</v>
      </c>
      <c r="C32" t="s">
        <v>55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1732</v>
      </c>
      <c r="B33" t="s">
        <v>5</v>
      </c>
      <c r="C33" t="s">
        <v>55</v>
      </c>
      <c r="D33" t="s">
        <v>35</v>
      </c>
      <c r="J33">
        <f t="shared" si="0"/>
        <v>0</v>
      </c>
      <c r="L33">
        <f t="shared" si="1"/>
        <v>0</v>
      </c>
    </row>
    <row r="34" spans="1:12" x14ac:dyDescent="0.25">
      <c r="A34">
        <v>1732</v>
      </c>
      <c r="B34" t="s">
        <v>6</v>
      </c>
      <c r="C34" t="s">
        <v>55</v>
      </c>
      <c r="D34" t="s">
        <v>35</v>
      </c>
      <c r="F34">
        <v>8582</v>
      </c>
      <c r="H34">
        <v>6</v>
      </c>
      <c r="J34">
        <f t="shared" si="0"/>
        <v>961190</v>
      </c>
      <c r="L34">
        <f t="shared" si="1"/>
        <v>429.10267857142856</v>
      </c>
    </row>
    <row r="35" spans="1:12" x14ac:dyDescent="0.25">
      <c r="A35">
        <v>1732</v>
      </c>
      <c r="B35" t="s">
        <v>37</v>
      </c>
      <c r="C35" t="s">
        <v>55</v>
      </c>
      <c r="D35" t="s">
        <v>35</v>
      </c>
      <c r="J35">
        <f t="shared" si="0"/>
        <v>0</v>
      </c>
      <c r="L35">
        <f t="shared" si="1"/>
        <v>0</v>
      </c>
    </row>
    <row r="36" spans="1:12" x14ac:dyDescent="0.25">
      <c r="A36">
        <v>1732</v>
      </c>
      <c r="B36" t="s">
        <v>8</v>
      </c>
      <c r="C36" t="s">
        <v>55</v>
      </c>
      <c r="D36" t="s">
        <v>35</v>
      </c>
      <c r="F36">
        <v>5</v>
      </c>
      <c r="G36">
        <v>1</v>
      </c>
      <c r="H36">
        <v>19</v>
      </c>
      <c r="J36">
        <f t="shared" si="0"/>
        <v>607</v>
      </c>
      <c r="L36">
        <f t="shared" si="1"/>
        <v>0.27098214285714284</v>
      </c>
    </row>
    <row r="37" spans="1:12" x14ac:dyDescent="0.25">
      <c r="A37">
        <v>1732</v>
      </c>
      <c r="B37" t="s">
        <v>9</v>
      </c>
      <c r="C37" t="s">
        <v>55</v>
      </c>
      <c r="D37" t="s">
        <v>35</v>
      </c>
      <c r="H37">
        <f>1014*200</f>
        <v>202800</v>
      </c>
      <c r="I37" t="s">
        <v>143</v>
      </c>
      <c r="J37">
        <f t="shared" si="0"/>
        <v>202800</v>
      </c>
      <c r="L37">
        <f t="shared" si="1"/>
        <v>90.535714285714292</v>
      </c>
    </row>
    <row r="38" spans="1:12" x14ac:dyDescent="0.25">
      <c r="A38">
        <v>1732</v>
      </c>
      <c r="B38" t="s">
        <v>10</v>
      </c>
      <c r="C38" t="s">
        <v>55</v>
      </c>
      <c r="D38" t="s">
        <v>35</v>
      </c>
      <c r="F38">
        <v>273</v>
      </c>
      <c r="J38">
        <f t="shared" si="0"/>
        <v>30576</v>
      </c>
      <c r="L38">
        <f t="shared" si="1"/>
        <v>13.65</v>
      </c>
    </row>
    <row r="39" spans="1:12" x14ac:dyDescent="0.25">
      <c r="A39">
        <v>1732</v>
      </c>
      <c r="B39" t="s">
        <v>11</v>
      </c>
      <c r="C39" t="s">
        <v>55</v>
      </c>
      <c r="D39" t="s">
        <v>35</v>
      </c>
      <c r="F39">
        <v>1</v>
      </c>
      <c r="G39">
        <v>1</v>
      </c>
      <c r="H39">
        <v>7</v>
      </c>
      <c r="J39">
        <f t="shared" si="0"/>
        <v>147</v>
      </c>
      <c r="L39">
        <f t="shared" si="1"/>
        <v>6.5625000000000003E-2</v>
      </c>
    </row>
    <row r="40" spans="1:12" x14ac:dyDescent="0.25">
      <c r="A40">
        <v>1732</v>
      </c>
      <c r="B40" t="s">
        <v>36</v>
      </c>
      <c r="C40" t="s">
        <v>55</v>
      </c>
      <c r="D40" t="s">
        <v>35</v>
      </c>
      <c r="J40">
        <f t="shared" si="0"/>
        <v>0</v>
      </c>
      <c r="L40">
        <f t="shared" si="1"/>
        <v>0</v>
      </c>
    </row>
    <row r="41" spans="1:12" x14ac:dyDescent="0.25">
      <c r="A41">
        <v>1732</v>
      </c>
      <c r="B41" t="s">
        <v>41</v>
      </c>
      <c r="C41" t="s">
        <v>55</v>
      </c>
      <c r="D41" t="s">
        <v>35</v>
      </c>
      <c r="H41">
        <v>12</v>
      </c>
      <c r="J41">
        <f t="shared" si="0"/>
        <v>12</v>
      </c>
      <c r="L41">
        <f t="shared" si="1"/>
        <v>5.3571428571428572E-3</v>
      </c>
    </row>
    <row r="42" spans="1:12" x14ac:dyDescent="0.25">
      <c r="A42">
        <v>1732</v>
      </c>
      <c r="B42" t="s">
        <v>12</v>
      </c>
      <c r="C42" t="s">
        <v>55</v>
      </c>
      <c r="D42" t="s">
        <v>35</v>
      </c>
      <c r="H42">
        <v>1121</v>
      </c>
      <c r="J42">
        <f t="shared" si="0"/>
        <v>1121</v>
      </c>
      <c r="L42">
        <f t="shared" si="1"/>
        <v>0.50044642857142863</v>
      </c>
    </row>
    <row r="43" spans="1:12" x14ac:dyDescent="0.25">
      <c r="A43">
        <v>1732</v>
      </c>
      <c r="B43" t="s">
        <v>13</v>
      </c>
      <c r="C43" t="s">
        <v>55</v>
      </c>
      <c r="D43" t="s">
        <v>35</v>
      </c>
      <c r="F43">
        <v>330</v>
      </c>
      <c r="G43">
        <v>2</v>
      </c>
      <c r="H43">
        <v>19</v>
      </c>
      <c r="J43">
        <f t="shared" si="0"/>
        <v>37035</v>
      </c>
      <c r="L43">
        <f t="shared" si="1"/>
        <v>16.533482142857142</v>
      </c>
    </row>
    <row r="44" spans="1:12" x14ac:dyDescent="0.25">
      <c r="A44">
        <v>1732</v>
      </c>
      <c r="B44" t="s">
        <v>14</v>
      </c>
      <c r="C44" t="s">
        <v>55</v>
      </c>
      <c r="D44" t="s">
        <v>35</v>
      </c>
      <c r="H44">
        <v>490</v>
      </c>
      <c r="I44" t="s">
        <v>139</v>
      </c>
      <c r="J44">
        <f t="shared" si="0"/>
        <v>490</v>
      </c>
      <c r="L44">
        <f t="shared" si="1"/>
        <v>0.21875</v>
      </c>
    </row>
    <row r="45" spans="1:12" x14ac:dyDescent="0.25">
      <c r="A45">
        <v>1732</v>
      </c>
      <c r="B45" t="s">
        <v>27</v>
      </c>
      <c r="C45" t="s">
        <v>55</v>
      </c>
      <c r="D45" t="s">
        <v>35</v>
      </c>
      <c r="H45">
        <v>2870</v>
      </c>
      <c r="I45" t="s">
        <v>142</v>
      </c>
      <c r="J45">
        <f t="shared" si="0"/>
        <v>2870</v>
      </c>
      <c r="L45">
        <f t="shared" si="1"/>
        <v>1.28125</v>
      </c>
    </row>
    <row r="46" spans="1:12" x14ac:dyDescent="0.25">
      <c r="A46">
        <v>1732</v>
      </c>
      <c r="B46" t="s">
        <v>15</v>
      </c>
      <c r="C46" t="s">
        <v>55</v>
      </c>
      <c r="D46" t="s">
        <v>35</v>
      </c>
      <c r="J46">
        <f t="shared" si="0"/>
        <v>0</v>
      </c>
      <c r="L46">
        <f t="shared" si="1"/>
        <v>0</v>
      </c>
    </row>
    <row r="47" spans="1:12" x14ac:dyDescent="0.25">
      <c r="A47">
        <v>1732</v>
      </c>
      <c r="B47" t="s">
        <v>49</v>
      </c>
      <c r="C47" t="s">
        <v>55</v>
      </c>
      <c r="D47" t="s">
        <v>35</v>
      </c>
      <c r="H47">
        <v>40</v>
      </c>
      <c r="I47" t="s">
        <v>140</v>
      </c>
      <c r="J47">
        <f t="shared" si="0"/>
        <v>40</v>
      </c>
      <c r="L47">
        <f t="shared" si="1"/>
        <v>1.7857142857142856E-2</v>
      </c>
    </row>
    <row r="48" spans="1:12" x14ac:dyDescent="0.25">
      <c r="A48">
        <v>1732</v>
      </c>
      <c r="B48" t="s">
        <v>16</v>
      </c>
      <c r="C48" t="s">
        <v>55</v>
      </c>
      <c r="D48" t="s">
        <v>35</v>
      </c>
      <c r="H48">
        <v>300</v>
      </c>
      <c r="J48">
        <f t="shared" si="0"/>
        <v>300</v>
      </c>
      <c r="L48">
        <f t="shared" si="1"/>
        <v>0.13392857142857142</v>
      </c>
    </row>
    <row r="49" spans="1:12" x14ac:dyDescent="0.25">
      <c r="A49">
        <v>1732</v>
      </c>
      <c r="B49" t="s">
        <v>17</v>
      </c>
      <c r="C49" t="s">
        <v>55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1732</v>
      </c>
      <c r="B50" t="s">
        <v>18</v>
      </c>
      <c r="C50" t="s">
        <v>55</v>
      </c>
      <c r="D50" t="s">
        <v>35</v>
      </c>
      <c r="H50">
        <v>19660</v>
      </c>
      <c r="I50" t="s">
        <v>141</v>
      </c>
      <c r="J50">
        <f t="shared" si="0"/>
        <v>19660</v>
      </c>
      <c r="L50">
        <f t="shared" si="1"/>
        <v>8.7767857142857135</v>
      </c>
    </row>
    <row r="51" spans="1:12" x14ac:dyDescent="0.25">
      <c r="A51">
        <v>1732</v>
      </c>
      <c r="B51" t="s">
        <v>19</v>
      </c>
      <c r="C51" t="s">
        <v>55</v>
      </c>
      <c r="D51" t="s">
        <v>35</v>
      </c>
      <c r="F51">
        <v>5</v>
      </c>
      <c r="G51">
        <v>3</v>
      </c>
      <c r="H51">
        <v>18</v>
      </c>
      <c r="J51">
        <f t="shared" si="0"/>
        <v>662</v>
      </c>
      <c r="L51">
        <f t="shared" si="1"/>
        <v>0.29553571428571429</v>
      </c>
    </row>
    <row r="52" spans="1:12" x14ac:dyDescent="0.25">
      <c r="A52">
        <v>1732</v>
      </c>
      <c r="B52" t="s">
        <v>56</v>
      </c>
      <c r="C52" t="s">
        <v>55</v>
      </c>
      <c r="D52" t="s">
        <v>35</v>
      </c>
      <c r="H52">
        <v>11</v>
      </c>
      <c r="J52">
        <f t="shared" si="0"/>
        <v>11</v>
      </c>
      <c r="L52">
        <f t="shared" si="1"/>
        <v>4.9107142857142856E-3</v>
      </c>
    </row>
    <row r="53" spans="1:12" x14ac:dyDescent="0.25">
      <c r="A53">
        <v>1732</v>
      </c>
      <c r="B53" t="s">
        <v>102</v>
      </c>
      <c r="C53" t="s">
        <v>55</v>
      </c>
      <c r="D53" t="s">
        <v>35</v>
      </c>
      <c r="H53">
        <v>32</v>
      </c>
      <c r="J53">
        <f t="shared" si="0"/>
        <v>32</v>
      </c>
      <c r="L53">
        <f t="shared" si="1"/>
        <v>1.4285714285714285E-2</v>
      </c>
    </row>
    <row r="54" spans="1:12" x14ac:dyDescent="0.25">
      <c r="A54">
        <v>1732</v>
      </c>
      <c r="B54" t="s">
        <v>20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1732</v>
      </c>
      <c r="B55" t="s">
        <v>21</v>
      </c>
      <c r="C55" t="s">
        <v>55</v>
      </c>
      <c r="D55" t="s">
        <v>35</v>
      </c>
      <c r="H55">
        <v>16</v>
      </c>
      <c r="J55">
        <f t="shared" si="0"/>
        <v>16</v>
      </c>
      <c r="L55">
        <f t="shared" si="1"/>
        <v>7.1428571428571426E-3</v>
      </c>
    </row>
    <row r="56" spans="1:12" x14ac:dyDescent="0.25">
      <c r="A56">
        <v>1732</v>
      </c>
      <c r="B56" t="s">
        <v>95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1732</v>
      </c>
      <c r="B57" t="s">
        <v>22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1732</v>
      </c>
      <c r="B58" t="s">
        <v>63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1732</v>
      </c>
      <c r="B59" t="s">
        <v>96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1732</v>
      </c>
      <c r="B60" t="s">
        <v>91</v>
      </c>
      <c r="C60" t="s">
        <v>55</v>
      </c>
      <c r="D60" t="s">
        <v>35</v>
      </c>
      <c r="E60">
        <v>5</v>
      </c>
      <c r="J60">
        <f t="shared" si="0"/>
        <v>11200</v>
      </c>
      <c r="L60">
        <f t="shared" si="1"/>
        <v>5</v>
      </c>
    </row>
    <row r="61" spans="1:12" x14ac:dyDescent="0.25">
      <c r="A61">
        <v>1732</v>
      </c>
      <c r="B61" t="s">
        <v>64</v>
      </c>
      <c r="C61" t="s">
        <v>55</v>
      </c>
      <c r="D61" t="s">
        <v>35</v>
      </c>
      <c r="E61">
        <v>28</v>
      </c>
      <c r="F61">
        <v>4</v>
      </c>
      <c r="G61">
        <v>2</v>
      </c>
      <c r="H61">
        <v>3</v>
      </c>
      <c r="J61">
        <f t="shared" si="0"/>
        <v>63227</v>
      </c>
      <c r="L61">
        <f t="shared" si="1"/>
        <v>28.226339285714285</v>
      </c>
    </row>
    <row r="62" spans="1:12" x14ac:dyDescent="0.25">
      <c r="A62">
        <v>1732</v>
      </c>
      <c r="B62" t="s">
        <v>65</v>
      </c>
      <c r="C62" t="s">
        <v>55</v>
      </c>
      <c r="D62" t="s">
        <v>35</v>
      </c>
      <c r="J62">
        <f t="shared" si="0"/>
        <v>0</v>
      </c>
      <c r="L62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9"/>
  <sheetViews>
    <sheetView topLeftCell="A33" workbookViewId="0">
      <selection activeCell="I66" sqref="I6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1732</v>
      </c>
      <c r="B2" t="s">
        <v>57</v>
      </c>
      <c r="C2" t="s">
        <v>58</v>
      </c>
      <c r="D2" t="s">
        <v>33</v>
      </c>
      <c r="J2">
        <f t="shared" ref="J2:J67" si="0">(E2*2240)+(F2*112)+(G2*28)+H2</f>
        <v>0</v>
      </c>
      <c r="L2">
        <f t="shared" ref="L2:L67" si="1">J2/2240</f>
        <v>0</v>
      </c>
    </row>
    <row r="3" spans="1:12" x14ac:dyDescent="0.25">
      <c r="A3">
        <v>1732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1732</v>
      </c>
      <c r="B4" t="s">
        <v>38</v>
      </c>
      <c r="C4" t="s">
        <v>58</v>
      </c>
      <c r="D4" t="s">
        <v>33</v>
      </c>
      <c r="H4">
        <v>11986</v>
      </c>
      <c r="J4">
        <f t="shared" si="0"/>
        <v>11986</v>
      </c>
      <c r="L4">
        <f t="shared" si="1"/>
        <v>5.3508928571428571</v>
      </c>
    </row>
    <row r="5" spans="1:12" x14ac:dyDescent="0.25">
      <c r="A5">
        <v>1732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1732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1732</v>
      </c>
      <c r="B7" t="s">
        <v>97</v>
      </c>
      <c r="C7" t="s">
        <v>58</v>
      </c>
      <c r="D7" t="s">
        <v>33</v>
      </c>
      <c r="H7">
        <v>1341</v>
      </c>
      <c r="J7">
        <f t="shared" si="0"/>
        <v>1341</v>
      </c>
      <c r="L7">
        <f t="shared" si="1"/>
        <v>0.59866071428571432</v>
      </c>
    </row>
    <row r="8" spans="1:12" x14ac:dyDescent="0.25">
      <c r="A8">
        <v>1732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1732</v>
      </c>
      <c r="B9" t="s">
        <v>5</v>
      </c>
      <c r="C9" t="s">
        <v>58</v>
      </c>
      <c r="D9" t="s">
        <v>33</v>
      </c>
      <c r="F9">
        <v>1</v>
      </c>
      <c r="G9">
        <v>2</v>
      </c>
      <c r="J9">
        <f t="shared" si="0"/>
        <v>168</v>
      </c>
      <c r="L9">
        <f t="shared" si="1"/>
        <v>7.4999999999999997E-2</v>
      </c>
    </row>
    <row r="10" spans="1:12" x14ac:dyDescent="0.25">
      <c r="A10">
        <v>1732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1732</v>
      </c>
      <c r="B11" t="s">
        <v>6</v>
      </c>
      <c r="C11" t="s">
        <v>58</v>
      </c>
      <c r="D11" t="s">
        <v>33</v>
      </c>
      <c r="F11">
        <v>97928</v>
      </c>
      <c r="G11">
        <v>2</v>
      </c>
      <c r="H11">
        <v>23</v>
      </c>
      <c r="J11">
        <f t="shared" si="0"/>
        <v>10968015</v>
      </c>
      <c r="L11">
        <f t="shared" si="1"/>
        <v>4896.4352678571431</v>
      </c>
    </row>
    <row r="12" spans="1:12" x14ac:dyDescent="0.25">
      <c r="A12">
        <v>1732</v>
      </c>
      <c r="B12" t="s">
        <v>62</v>
      </c>
      <c r="C12" t="s">
        <v>58</v>
      </c>
      <c r="D12" t="s">
        <v>33</v>
      </c>
      <c r="H12">
        <v>251</v>
      </c>
      <c r="J12">
        <f t="shared" si="0"/>
        <v>251</v>
      </c>
      <c r="L12">
        <f t="shared" si="1"/>
        <v>0.11205357142857143</v>
      </c>
    </row>
    <row r="13" spans="1:12" x14ac:dyDescent="0.25">
      <c r="A13">
        <v>1732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1732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1732</v>
      </c>
      <c r="B15" t="s">
        <v>8</v>
      </c>
      <c r="C15" t="s">
        <v>58</v>
      </c>
      <c r="D15" t="s">
        <v>33</v>
      </c>
      <c r="F15">
        <v>68</v>
      </c>
      <c r="H15">
        <v>13</v>
      </c>
      <c r="J15">
        <f t="shared" si="0"/>
        <v>7629</v>
      </c>
      <c r="L15">
        <f t="shared" si="1"/>
        <v>3.4058035714285713</v>
      </c>
    </row>
    <row r="16" spans="1:12" x14ac:dyDescent="0.25">
      <c r="A16">
        <v>1732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1732</v>
      </c>
      <c r="B17" t="s">
        <v>80</v>
      </c>
      <c r="C17" t="s">
        <v>58</v>
      </c>
      <c r="D17" t="s">
        <v>33</v>
      </c>
      <c r="G17">
        <v>1</v>
      </c>
      <c r="H17">
        <v>9</v>
      </c>
      <c r="J17">
        <f t="shared" si="0"/>
        <v>37</v>
      </c>
      <c r="L17">
        <f t="shared" si="1"/>
        <v>1.6517857142857143E-2</v>
      </c>
    </row>
    <row r="18" spans="1:12" x14ac:dyDescent="0.25">
      <c r="A18">
        <v>1732</v>
      </c>
      <c r="B18" t="s">
        <v>81</v>
      </c>
      <c r="C18" t="s">
        <v>58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1732</v>
      </c>
      <c r="B19" t="s">
        <v>9</v>
      </c>
      <c r="C19" t="s">
        <v>58</v>
      </c>
      <c r="D19" t="s">
        <v>33</v>
      </c>
      <c r="H19">
        <f>65*200</f>
        <v>13000</v>
      </c>
      <c r="I19" t="s">
        <v>116</v>
      </c>
      <c r="J19">
        <f t="shared" si="0"/>
        <v>13000</v>
      </c>
      <c r="L19">
        <f t="shared" si="1"/>
        <v>5.8035714285714288</v>
      </c>
    </row>
    <row r="20" spans="1:12" x14ac:dyDescent="0.25">
      <c r="A20">
        <v>1732</v>
      </c>
      <c r="B20" t="s">
        <v>10</v>
      </c>
      <c r="C20" t="s">
        <v>58</v>
      </c>
      <c r="D20" t="s">
        <v>33</v>
      </c>
      <c r="F20">
        <v>2261</v>
      </c>
      <c r="G20">
        <v>3</v>
      </c>
      <c r="H20">
        <v>19</v>
      </c>
      <c r="J20">
        <f t="shared" si="0"/>
        <v>253335</v>
      </c>
      <c r="L20">
        <f t="shared" si="1"/>
        <v>113.09598214285714</v>
      </c>
    </row>
    <row r="21" spans="1:12" x14ac:dyDescent="0.25">
      <c r="A21">
        <v>1732</v>
      </c>
      <c r="B21" t="s">
        <v>11</v>
      </c>
      <c r="C21" t="s">
        <v>58</v>
      </c>
      <c r="D21" t="s">
        <v>33</v>
      </c>
      <c r="F21">
        <v>208</v>
      </c>
      <c r="G21">
        <v>3</v>
      </c>
      <c r="H21">
        <v>24</v>
      </c>
      <c r="J21">
        <f t="shared" si="0"/>
        <v>23404</v>
      </c>
      <c r="L21">
        <f t="shared" si="1"/>
        <v>10.448214285714286</v>
      </c>
    </row>
    <row r="22" spans="1:12" x14ac:dyDescent="0.25">
      <c r="A22">
        <v>1732</v>
      </c>
      <c r="B22" t="s">
        <v>41</v>
      </c>
      <c r="C22" t="s">
        <v>58</v>
      </c>
      <c r="D22" t="s">
        <v>33</v>
      </c>
      <c r="H22">
        <v>808</v>
      </c>
      <c r="J22">
        <f t="shared" si="0"/>
        <v>808</v>
      </c>
      <c r="L22">
        <f t="shared" si="1"/>
        <v>0.36071428571428571</v>
      </c>
    </row>
    <row r="23" spans="1:12" x14ac:dyDescent="0.25">
      <c r="A23">
        <v>1732</v>
      </c>
      <c r="B23" t="s">
        <v>82</v>
      </c>
      <c r="C23" t="s">
        <v>58</v>
      </c>
      <c r="D23" t="s">
        <v>33</v>
      </c>
      <c r="H23">
        <v>7199</v>
      </c>
      <c r="J23">
        <f t="shared" si="0"/>
        <v>7199</v>
      </c>
      <c r="L23">
        <f t="shared" si="1"/>
        <v>3.2138392857142857</v>
      </c>
    </row>
    <row r="24" spans="1:12" x14ac:dyDescent="0.25">
      <c r="A24">
        <v>1732</v>
      </c>
      <c r="B24" t="s">
        <v>46</v>
      </c>
      <c r="C24" t="s">
        <v>58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1732</v>
      </c>
      <c r="B25" t="s">
        <v>12</v>
      </c>
      <c r="C25" t="s">
        <v>58</v>
      </c>
      <c r="D25" t="s">
        <v>33</v>
      </c>
      <c r="H25">
        <v>600</v>
      </c>
      <c r="J25">
        <f t="shared" si="0"/>
        <v>600</v>
      </c>
      <c r="L25">
        <f t="shared" si="1"/>
        <v>0.26785714285714285</v>
      </c>
    </row>
    <row r="26" spans="1:12" x14ac:dyDescent="0.25">
      <c r="A26">
        <v>1732</v>
      </c>
      <c r="B26" t="s">
        <v>34</v>
      </c>
      <c r="C26" t="s">
        <v>58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1732</v>
      </c>
      <c r="B27" t="s">
        <v>13</v>
      </c>
      <c r="C27" t="s">
        <v>58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1732</v>
      </c>
      <c r="B28" t="s">
        <v>14</v>
      </c>
      <c r="C28" t="s">
        <v>58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1732</v>
      </c>
      <c r="B29" t="s">
        <v>23</v>
      </c>
      <c r="C29" t="s">
        <v>58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1732</v>
      </c>
      <c r="B30" t="s">
        <v>27</v>
      </c>
      <c r="C30" t="s">
        <v>58</v>
      </c>
      <c r="D30" t="s">
        <v>33</v>
      </c>
      <c r="H30">
        <v>85702</v>
      </c>
      <c r="I30" t="s">
        <v>115</v>
      </c>
      <c r="J30">
        <f t="shared" si="0"/>
        <v>85702</v>
      </c>
      <c r="L30">
        <f t="shared" si="1"/>
        <v>38.259821428571428</v>
      </c>
    </row>
    <row r="31" spans="1:12" x14ac:dyDescent="0.25">
      <c r="A31">
        <v>1732</v>
      </c>
      <c r="B31" t="s">
        <v>15</v>
      </c>
      <c r="C31" t="s">
        <v>58</v>
      </c>
      <c r="D31" t="s">
        <v>33</v>
      </c>
      <c r="F31">
        <v>6</v>
      </c>
      <c r="G31">
        <v>3</v>
      </c>
      <c r="J31">
        <f t="shared" si="0"/>
        <v>756</v>
      </c>
      <c r="L31">
        <f t="shared" si="1"/>
        <v>0.33750000000000002</v>
      </c>
    </row>
    <row r="32" spans="1:12" x14ac:dyDescent="0.25">
      <c r="A32">
        <v>1732</v>
      </c>
      <c r="B32" t="s">
        <v>44</v>
      </c>
      <c r="C32" t="s">
        <v>58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1732</v>
      </c>
      <c r="B33" t="s">
        <v>49</v>
      </c>
      <c r="C33" t="s">
        <v>58</v>
      </c>
      <c r="D33" t="s">
        <v>33</v>
      </c>
      <c r="H33">
        <v>1210</v>
      </c>
      <c r="I33" t="s">
        <v>113</v>
      </c>
      <c r="J33">
        <f t="shared" si="0"/>
        <v>1210</v>
      </c>
      <c r="L33">
        <f t="shared" si="1"/>
        <v>0.5401785714285714</v>
      </c>
    </row>
    <row r="34" spans="1:12" x14ac:dyDescent="0.25">
      <c r="A34">
        <v>1732</v>
      </c>
      <c r="B34" t="s">
        <v>16</v>
      </c>
      <c r="C34" t="s">
        <v>58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1732</v>
      </c>
      <c r="B35" t="s">
        <v>17</v>
      </c>
      <c r="C35" t="s">
        <v>58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1732</v>
      </c>
      <c r="B36" t="s">
        <v>18</v>
      </c>
      <c r="C36" t="s">
        <v>58</v>
      </c>
      <c r="D36" t="s">
        <v>33</v>
      </c>
      <c r="H36">
        <v>128678</v>
      </c>
      <c r="I36" t="s">
        <v>114</v>
      </c>
      <c r="J36">
        <f t="shared" si="0"/>
        <v>128678</v>
      </c>
      <c r="L36">
        <f t="shared" si="1"/>
        <v>57.445535714285711</v>
      </c>
    </row>
    <row r="37" spans="1:12" x14ac:dyDescent="0.25">
      <c r="A37">
        <v>1732</v>
      </c>
      <c r="B37" t="s">
        <v>26</v>
      </c>
      <c r="C37" t="s">
        <v>58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1732</v>
      </c>
      <c r="B38" t="s">
        <v>19</v>
      </c>
      <c r="C38" t="s">
        <v>58</v>
      </c>
      <c r="D38" t="s">
        <v>33</v>
      </c>
      <c r="F38">
        <v>2</v>
      </c>
      <c r="H38">
        <v>14</v>
      </c>
      <c r="J38">
        <f t="shared" si="0"/>
        <v>238</v>
      </c>
      <c r="L38">
        <f t="shared" si="1"/>
        <v>0.10625</v>
      </c>
    </row>
    <row r="39" spans="1:12" x14ac:dyDescent="0.25">
      <c r="A39">
        <v>1732</v>
      </c>
      <c r="B39" t="s">
        <v>47</v>
      </c>
      <c r="C39" t="s">
        <v>58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1732</v>
      </c>
      <c r="B40" t="s">
        <v>56</v>
      </c>
      <c r="C40" t="s">
        <v>58</v>
      </c>
      <c r="D40" t="s">
        <v>33</v>
      </c>
      <c r="H40">
        <v>2016</v>
      </c>
      <c r="J40">
        <f t="shared" si="0"/>
        <v>2016</v>
      </c>
      <c r="L40">
        <f t="shared" si="1"/>
        <v>0.9</v>
      </c>
    </row>
    <row r="41" spans="1:12" x14ac:dyDescent="0.25">
      <c r="A41">
        <v>1732</v>
      </c>
      <c r="B41" t="s">
        <v>102</v>
      </c>
      <c r="C41" t="s">
        <v>58</v>
      </c>
      <c r="D41" t="s">
        <v>33</v>
      </c>
      <c r="H41">
        <v>299</v>
      </c>
      <c r="J41">
        <f t="shared" si="0"/>
        <v>299</v>
      </c>
      <c r="L41">
        <f t="shared" si="1"/>
        <v>0.13348214285714285</v>
      </c>
    </row>
    <row r="42" spans="1:12" x14ac:dyDescent="0.25">
      <c r="A42">
        <v>1732</v>
      </c>
      <c r="B42" t="s">
        <v>20</v>
      </c>
      <c r="C42" t="s">
        <v>58</v>
      </c>
      <c r="D42" t="s">
        <v>33</v>
      </c>
      <c r="H42">
        <v>3600</v>
      </c>
      <c r="J42">
        <f t="shared" si="0"/>
        <v>3600</v>
      </c>
      <c r="L42">
        <f t="shared" si="1"/>
        <v>1.6071428571428572</v>
      </c>
    </row>
    <row r="43" spans="1:12" x14ac:dyDescent="0.25">
      <c r="A43">
        <v>1732</v>
      </c>
      <c r="B43" t="s">
        <v>21</v>
      </c>
      <c r="C43" t="s">
        <v>58</v>
      </c>
      <c r="D43" t="s">
        <v>33</v>
      </c>
      <c r="H43">
        <v>10</v>
      </c>
      <c r="J43">
        <f t="shared" si="0"/>
        <v>10</v>
      </c>
      <c r="L43">
        <f t="shared" si="1"/>
        <v>4.464285714285714E-3</v>
      </c>
    </row>
    <row r="44" spans="1:12" x14ac:dyDescent="0.25">
      <c r="A44">
        <v>1732</v>
      </c>
      <c r="B44" t="s">
        <v>22</v>
      </c>
      <c r="C44" t="s">
        <v>58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1732</v>
      </c>
      <c r="B45" t="s">
        <v>63</v>
      </c>
      <c r="C45" t="s">
        <v>58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1732</v>
      </c>
      <c r="B46" t="s">
        <v>64</v>
      </c>
      <c r="C46" t="s">
        <v>58</v>
      </c>
      <c r="D46" t="s">
        <v>33</v>
      </c>
      <c r="E46">
        <v>10</v>
      </c>
      <c r="J46">
        <f t="shared" si="0"/>
        <v>22400</v>
      </c>
      <c r="L46">
        <f t="shared" si="1"/>
        <v>10</v>
      </c>
    </row>
    <row r="47" spans="1:12" x14ac:dyDescent="0.25">
      <c r="A47">
        <v>1732</v>
      </c>
      <c r="B47" t="s">
        <v>65</v>
      </c>
      <c r="C47" t="s">
        <v>58</v>
      </c>
      <c r="D47" t="s">
        <v>33</v>
      </c>
      <c r="E47">
        <v>5</v>
      </c>
      <c r="J47">
        <f t="shared" si="0"/>
        <v>11200</v>
      </c>
      <c r="L47">
        <f t="shared" si="1"/>
        <v>5</v>
      </c>
    </row>
    <row r="48" spans="1:12" x14ac:dyDescent="0.25">
      <c r="A48">
        <v>1732</v>
      </c>
      <c r="B48" t="s">
        <v>73</v>
      </c>
      <c r="C48" t="s">
        <v>58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1732</v>
      </c>
      <c r="B49" t="s">
        <v>66</v>
      </c>
      <c r="C49" t="s">
        <v>58</v>
      </c>
      <c r="D49" t="s">
        <v>33</v>
      </c>
      <c r="E49">
        <v>24</v>
      </c>
      <c r="F49">
        <v>2</v>
      </c>
      <c r="G49">
        <v>1</v>
      </c>
      <c r="H49">
        <v>20</v>
      </c>
      <c r="J49">
        <f t="shared" si="0"/>
        <v>54032</v>
      </c>
      <c r="L49">
        <f t="shared" si="1"/>
        <v>24.12142857142857</v>
      </c>
    </row>
    <row r="50" spans="1:12" x14ac:dyDescent="0.25">
      <c r="A50">
        <v>1732</v>
      </c>
      <c r="B50" t="s">
        <v>67</v>
      </c>
      <c r="C50" t="s">
        <v>58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1732</v>
      </c>
      <c r="B51" t="s">
        <v>57</v>
      </c>
      <c r="C51" t="s">
        <v>58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1732</v>
      </c>
      <c r="B52" t="s">
        <v>59</v>
      </c>
      <c r="C52" t="s">
        <v>58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1732</v>
      </c>
      <c r="B53" t="s">
        <v>38</v>
      </c>
      <c r="C53" t="s">
        <v>58</v>
      </c>
      <c r="D53" t="s">
        <v>35</v>
      </c>
      <c r="H53">
        <v>239</v>
      </c>
      <c r="J53">
        <f t="shared" si="0"/>
        <v>239</v>
      </c>
      <c r="L53">
        <f t="shared" si="1"/>
        <v>0.10669642857142857</v>
      </c>
    </row>
    <row r="54" spans="1:12" x14ac:dyDescent="0.25">
      <c r="A54">
        <v>1732</v>
      </c>
      <c r="B54" t="s">
        <v>4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1732</v>
      </c>
      <c r="B55" t="s">
        <v>60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1732</v>
      </c>
      <c r="B56" t="s">
        <v>97</v>
      </c>
      <c r="C56" t="s">
        <v>58</v>
      </c>
      <c r="D56" t="s">
        <v>35</v>
      </c>
      <c r="H56">
        <v>136</v>
      </c>
      <c r="J56">
        <f t="shared" si="0"/>
        <v>136</v>
      </c>
      <c r="L56">
        <f t="shared" si="1"/>
        <v>6.0714285714285714E-2</v>
      </c>
    </row>
    <row r="57" spans="1:12" x14ac:dyDescent="0.25">
      <c r="A57">
        <v>1732</v>
      </c>
      <c r="B57" t="s">
        <v>45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1732</v>
      </c>
      <c r="B58" t="s">
        <v>5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1732</v>
      </c>
      <c r="B59" t="s">
        <v>61</v>
      </c>
      <c r="C59" t="s">
        <v>58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1732</v>
      </c>
      <c r="B60" t="s">
        <v>6</v>
      </c>
      <c r="C60" t="s">
        <v>58</v>
      </c>
      <c r="D60" t="s">
        <v>35</v>
      </c>
      <c r="F60">
        <v>4712</v>
      </c>
      <c r="G60">
        <v>1</v>
      </c>
      <c r="H60">
        <v>24</v>
      </c>
      <c r="J60">
        <f t="shared" si="0"/>
        <v>527796</v>
      </c>
      <c r="L60">
        <f t="shared" si="1"/>
        <v>235.62321428571428</v>
      </c>
    </row>
    <row r="61" spans="1:12" x14ac:dyDescent="0.25">
      <c r="A61">
        <v>1732</v>
      </c>
      <c r="B61" t="s">
        <v>62</v>
      </c>
      <c r="C61" t="s">
        <v>58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1732</v>
      </c>
      <c r="B62" t="s">
        <v>40</v>
      </c>
      <c r="C62" t="s">
        <v>58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1732</v>
      </c>
      <c r="B63" t="s">
        <v>39</v>
      </c>
      <c r="C63" t="s">
        <v>58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1732</v>
      </c>
      <c r="B64" t="s">
        <v>8</v>
      </c>
      <c r="C64" t="s">
        <v>58</v>
      </c>
      <c r="D64" t="s">
        <v>35</v>
      </c>
      <c r="F64">
        <v>74</v>
      </c>
      <c r="H64">
        <v>19</v>
      </c>
      <c r="J64">
        <f t="shared" si="0"/>
        <v>8307</v>
      </c>
      <c r="L64">
        <f t="shared" si="1"/>
        <v>3.7084821428571431</v>
      </c>
    </row>
    <row r="65" spans="1:12" x14ac:dyDescent="0.25">
      <c r="A65">
        <v>1732</v>
      </c>
      <c r="B65" t="s">
        <v>42</v>
      </c>
      <c r="C65" t="s">
        <v>58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1732</v>
      </c>
      <c r="B66" t="s">
        <v>9</v>
      </c>
      <c r="C66" t="s">
        <v>58</v>
      </c>
      <c r="D66" t="s">
        <v>35</v>
      </c>
      <c r="H66">
        <f>727*200+30</f>
        <v>145430</v>
      </c>
      <c r="I66" t="s">
        <v>147</v>
      </c>
      <c r="J66">
        <f t="shared" si="0"/>
        <v>145430</v>
      </c>
      <c r="L66">
        <f t="shared" si="1"/>
        <v>64.924107142857139</v>
      </c>
    </row>
    <row r="67" spans="1:12" x14ac:dyDescent="0.25">
      <c r="A67">
        <v>1732</v>
      </c>
      <c r="B67" t="s">
        <v>10</v>
      </c>
      <c r="C67" t="s">
        <v>58</v>
      </c>
      <c r="D67" t="s">
        <v>35</v>
      </c>
      <c r="F67">
        <v>453</v>
      </c>
      <c r="H67">
        <v>18</v>
      </c>
      <c r="J67">
        <f t="shared" si="0"/>
        <v>50754</v>
      </c>
      <c r="L67">
        <f t="shared" si="1"/>
        <v>22.658035714285713</v>
      </c>
    </row>
    <row r="68" spans="1:12" x14ac:dyDescent="0.25">
      <c r="A68">
        <v>1732</v>
      </c>
      <c r="B68" t="s">
        <v>11</v>
      </c>
      <c r="C68" t="s">
        <v>58</v>
      </c>
      <c r="D68" t="s">
        <v>35</v>
      </c>
      <c r="F68">
        <v>273</v>
      </c>
      <c r="G68">
        <v>2</v>
      </c>
      <c r="H68">
        <v>1</v>
      </c>
      <c r="J68">
        <f t="shared" ref="J68:J99" si="2">(E68*2240)+(F68*112)+(G68*28)+H68</f>
        <v>30633</v>
      </c>
      <c r="L68">
        <f t="shared" ref="L68:L99" si="3">J68/2240</f>
        <v>13.675446428571428</v>
      </c>
    </row>
    <row r="69" spans="1:12" x14ac:dyDescent="0.25">
      <c r="A69">
        <v>1732</v>
      </c>
      <c r="B69" t="s">
        <v>41</v>
      </c>
      <c r="C69" t="s">
        <v>58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1732</v>
      </c>
      <c r="B70" t="s">
        <v>82</v>
      </c>
      <c r="C70" t="s">
        <v>58</v>
      </c>
      <c r="D70" t="s">
        <v>35</v>
      </c>
      <c r="H70">
        <v>7242</v>
      </c>
      <c r="J70">
        <f t="shared" si="2"/>
        <v>7242</v>
      </c>
      <c r="L70">
        <f t="shared" si="3"/>
        <v>3.2330357142857142</v>
      </c>
    </row>
    <row r="71" spans="1:12" x14ac:dyDescent="0.25">
      <c r="A71">
        <v>1732</v>
      </c>
      <c r="B71" t="s">
        <v>46</v>
      </c>
      <c r="C71" t="s">
        <v>58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1732</v>
      </c>
      <c r="B72" t="s">
        <v>12</v>
      </c>
      <c r="C72" t="s">
        <v>58</v>
      </c>
      <c r="D72" t="s">
        <v>35</v>
      </c>
      <c r="H72">
        <v>40</v>
      </c>
      <c r="J72">
        <f t="shared" si="2"/>
        <v>40</v>
      </c>
      <c r="L72">
        <f t="shared" si="3"/>
        <v>1.7857142857142856E-2</v>
      </c>
    </row>
    <row r="73" spans="1:12" x14ac:dyDescent="0.25">
      <c r="A73">
        <v>1732</v>
      </c>
      <c r="B73" t="s">
        <v>34</v>
      </c>
      <c r="C73" t="s">
        <v>58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1732</v>
      </c>
      <c r="B74" t="s">
        <v>13</v>
      </c>
      <c r="C74" t="s">
        <v>58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1732</v>
      </c>
      <c r="B75" t="s">
        <v>14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1732</v>
      </c>
      <c r="B76" t="s">
        <v>23</v>
      </c>
      <c r="C76" t="s">
        <v>58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1732</v>
      </c>
      <c r="B77" t="s">
        <v>27</v>
      </c>
      <c r="C77" t="s">
        <v>58</v>
      </c>
      <c r="D77" t="s">
        <v>35</v>
      </c>
      <c r="H77">
        <v>8532</v>
      </c>
      <c r="I77" t="s">
        <v>146</v>
      </c>
      <c r="J77">
        <f t="shared" si="2"/>
        <v>8532</v>
      </c>
      <c r="L77">
        <f t="shared" si="3"/>
        <v>3.8089285714285714</v>
      </c>
    </row>
    <row r="78" spans="1:12" x14ac:dyDescent="0.25">
      <c r="A78">
        <v>1732</v>
      </c>
      <c r="B78" t="s">
        <v>15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1732</v>
      </c>
      <c r="B79" t="s">
        <v>98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1732</v>
      </c>
      <c r="B80" t="s">
        <v>44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1732</v>
      </c>
      <c r="B81" t="s">
        <v>49</v>
      </c>
      <c r="C81" t="s">
        <v>58</v>
      </c>
      <c r="D81" t="s">
        <v>35</v>
      </c>
      <c r="H81">
        <v>22.5</v>
      </c>
      <c r="I81" t="s">
        <v>144</v>
      </c>
      <c r="J81">
        <f t="shared" si="2"/>
        <v>22.5</v>
      </c>
      <c r="L81">
        <f t="shared" si="3"/>
        <v>1.0044642857142858E-2</v>
      </c>
    </row>
    <row r="82" spans="1:12" x14ac:dyDescent="0.25">
      <c r="A82">
        <v>1732</v>
      </c>
      <c r="B82" t="s">
        <v>16</v>
      </c>
      <c r="C82" t="s">
        <v>58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1732</v>
      </c>
      <c r="B83" t="s">
        <v>17</v>
      </c>
      <c r="C83" t="s">
        <v>58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1732</v>
      </c>
      <c r="B84" t="s">
        <v>18</v>
      </c>
      <c r="C84" t="s">
        <v>58</v>
      </c>
      <c r="D84" t="s">
        <v>35</v>
      </c>
      <c r="H84">
        <v>9972.5</v>
      </c>
      <c r="I84" t="s">
        <v>145</v>
      </c>
      <c r="J84">
        <f t="shared" si="2"/>
        <v>9972.5</v>
      </c>
      <c r="L84">
        <f t="shared" si="3"/>
        <v>4.4520089285714288</v>
      </c>
    </row>
    <row r="85" spans="1:12" x14ac:dyDescent="0.25">
      <c r="A85">
        <v>1732</v>
      </c>
      <c r="B85" t="s">
        <v>26</v>
      </c>
      <c r="C85" t="s">
        <v>58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1732</v>
      </c>
      <c r="B86" t="s">
        <v>19</v>
      </c>
      <c r="C86" t="s">
        <v>58</v>
      </c>
      <c r="D86" t="s">
        <v>35</v>
      </c>
      <c r="F86">
        <v>6</v>
      </c>
      <c r="H86">
        <v>9</v>
      </c>
      <c r="J86">
        <f t="shared" si="2"/>
        <v>681</v>
      </c>
      <c r="L86">
        <f t="shared" si="3"/>
        <v>0.30401785714285712</v>
      </c>
    </row>
    <row r="87" spans="1:12" x14ac:dyDescent="0.25">
      <c r="A87">
        <v>1732</v>
      </c>
      <c r="B87" t="s">
        <v>47</v>
      </c>
      <c r="C87" t="s">
        <v>58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1732</v>
      </c>
      <c r="B88" t="s">
        <v>56</v>
      </c>
      <c r="C88" t="s">
        <v>58</v>
      </c>
      <c r="D88" t="s">
        <v>35</v>
      </c>
      <c r="H88">
        <v>69</v>
      </c>
      <c r="J88">
        <f t="shared" si="2"/>
        <v>69</v>
      </c>
      <c r="L88">
        <f t="shared" si="3"/>
        <v>3.080357142857143E-2</v>
      </c>
    </row>
    <row r="89" spans="1:12" x14ac:dyDescent="0.25">
      <c r="A89">
        <v>1732</v>
      </c>
      <c r="B89" t="s">
        <v>102</v>
      </c>
      <c r="C89" t="s">
        <v>58</v>
      </c>
      <c r="D89" t="s">
        <v>35</v>
      </c>
      <c r="H89">
        <v>21</v>
      </c>
      <c r="J89">
        <f t="shared" si="2"/>
        <v>21</v>
      </c>
      <c r="L89">
        <f t="shared" si="3"/>
        <v>9.3749999999999997E-3</v>
      </c>
    </row>
    <row r="90" spans="1:12" x14ac:dyDescent="0.25">
      <c r="A90">
        <v>1732</v>
      </c>
      <c r="B90" t="s">
        <v>20</v>
      </c>
      <c r="C90" t="s">
        <v>58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1732</v>
      </c>
      <c r="B91" t="s">
        <v>21</v>
      </c>
      <c r="C91" t="s">
        <v>58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1732</v>
      </c>
      <c r="B92" t="s">
        <v>22</v>
      </c>
      <c r="C92" t="s">
        <v>58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1732</v>
      </c>
      <c r="B93" t="s">
        <v>63</v>
      </c>
      <c r="C93" t="s">
        <v>58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1732</v>
      </c>
      <c r="B94" t="s">
        <v>64</v>
      </c>
      <c r="C94" t="s">
        <v>58</v>
      </c>
      <c r="D94" t="s">
        <v>35</v>
      </c>
      <c r="F94">
        <v>14</v>
      </c>
      <c r="J94">
        <f t="shared" si="2"/>
        <v>1568</v>
      </c>
      <c r="L94">
        <f t="shared" si="3"/>
        <v>0.7</v>
      </c>
    </row>
    <row r="95" spans="1:12" x14ac:dyDescent="0.25">
      <c r="A95">
        <v>1732</v>
      </c>
      <c r="B95" t="s">
        <v>65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1732</v>
      </c>
      <c r="B96" t="s">
        <v>93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1732</v>
      </c>
      <c r="B97" t="s">
        <v>73</v>
      </c>
      <c r="C97" t="s">
        <v>58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1732</v>
      </c>
      <c r="B98" t="s">
        <v>66</v>
      </c>
      <c r="C98" t="s">
        <v>58</v>
      </c>
      <c r="D98" t="s">
        <v>35</v>
      </c>
      <c r="F98">
        <v>12</v>
      </c>
      <c r="G98">
        <v>2</v>
      </c>
      <c r="H98">
        <v>25</v>
      </c>
      <c r="J98">
        <f t="shared" si="2"/>
        <v>1425</v>
      </c>
      <c r="L98">
        <f t="shared" si="3"/>
        <v>0.6361607142857143</v>
      </c>
    </row>
    <row r="99" spans="1:12" x14ac:dyDescent="0.25">
      <c r="A99">
        <v>1732</v>
      </c>
      <c r="B99" t="s">
        <v>67</v>
      </c>
      <c r="C99" t="s">
        <v>58</v>
      </c>
      <c r="D99" t="s">
        <v>35</v>
      </c>
      <c r="J99">
        <f t="shared" si="2"/>
        <v>0</v>
      </c>
      <c r="L99">
        <f t="shared" si="3"/>
        <v>0</v>
      </c>
    </row>
  </sheetData>
  <autoFilter ref="A1:N54" xr:uid="{AAD1F908-12B8-4B3A-A65D-184CD229ACD4}">
    <sortState xmlns:xlrd2="http://schemas.microsoft.com/office/spreadsheetml/2017/richdata2" ref="A2:N54">
      <sortCondition ref="B1:B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3"/>
  <sheetViews>
    <sheetView workbookViewId="0">
      <selection activeCell="H8" sqref="H8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1732</v>
      </c>
      <c r="B2" t="s">
        <v>68</v>
      </c>
      <c r="C2" t="s">
        <v>69</v>
      </c>
      <c r="D2" t="s">
        <v>33</v>
      </c>
      <c r="J2">
        <f t="shared" ref="J2:J23" si="0">(E2*2240)+(F2*112)+(G2*28)+H2</f>
        <v>0</v>
      </c>
      <c r="L2">
        <f t="shared" ref="L2:L23" si="1">J2/2240</f>
        <v>0</v>
      </c>
    </row>
    <row r="3" spans="1:12" x14ac:dyDescent="0.25">
      <c r="A3">
        <v>1732</v>
      </c>
      <c r="B3" t="s">
        <v>6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1732</v>
      </c>
      <c r="B4" t="s">
        <v>8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1732</v>
      </c>
      <c r="B5" t="s">
        <v>9</v>
      </c>
      <c r="C5" t="s">
        <v>69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1732</v>
      </c>
      <c r="B6" t="s">
        <v>12</v>
      </c>
      <c r="C6" t="s">
        <v>69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1732</v>
      </c>
      <c r="B7" t="s">
        <v>27</v>
      </c>
      <c r="C7" t="s">
        <v>69</v>
      </c>
      <c r="D7" t="s">
        <v>33</v>
      </c>
      <c r="H7">
        <v>4141</v>
      </c>
      <c r="I7" t="s">
        <v>117</v>
      </c>
      <c r="J7">
        <f t="shared" si="0"/>
        <v>4141</v>
      </c>
      <c r="K7" s="1"/>
      <c r="L7">
        <f t="shared" si="1"/>
        <v>1.8486607142857143</v>
      </c>
    </row>
    <row r="8" spans="1:12" x14ac:dyDescent="0.25">
      <c r="A8">
        <v>1732</v>
      </c>
      <c r="B8" t="s">
        <v>17</v>
      </c>
      <c r="C8" t="s">
        <v>69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1732</v>
      </c>
      <c r="B9" t="s">
        <v>18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1732</v>
      </c>
      <c r="B10" t="s">
        <v>21</v>
      </c>
      <c r="C10" t="s">
        <v>69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1732</v>
      </c>
      <c r="B11" t="s">
        <v>63</v>
      </c>
      <c r="C11" t="s">
        <v>69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1732</v>
      </c>
      <c r="B12" t="s">
        <v>65</v>
      </c>
      <c r="C12" t="s">
        <v>69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1732</v>
      </c>
      <c r="B13" t="s">
        <v>6</v>
      </c>
      <c r="C13" t="s">
        <v>69</v>
      </c>
      <c r="D13" t="s">
        <v>35</v>
      </c>
      <c r="J13">
        <f t="shared" si="0"/>
        <v>0</v>
      </c>
      <c r="L13">
        <f t="shared" si="1"/>
        <v>0</v>
      </c>
    </row>
    <row r="14" spans="1:12" x14ac:dyDescent="0.25">
      <c r="A14">
        <v>1732</v>
      </c>
      <c r="B14" t="s">
        <v>12</v>
      </c>
      <c r="C14" t="s">
        <v>69</v>
      </c>
      <c r="D14" t="s">
        <v>35</v>
      </c>
      <c r="J14">
        <f t="shared" si="0"/>
        <v>0</v>
      </c>
      <c r="L14">
        <f t="shared" si="1"/>
        <v>0</v>
      </c>
    </row>
    <row r="15" spans="1:12" x14ac:dyDescent="0.25">
      <c r="A15">
        <v>1732</v>
      </c>
      <c r="B15" t="s">
        <v>43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1732</v>
      </c>
      <c r="B16" t="s">
        <v>27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1732</v>
      </c>
      <c r="B17" t="s">
        <v>17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1732</v>
      </c>
      <c r="B18" t="s">
        <v>19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1732</v>
      </c>
      <c r="B19" t="s">
        <v>56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1732</v>
      </c>
      <c r="B20" t="s">
        <v>9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1732</v>
      </c>
      <c r="B21" t="s">
        <v>8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1732</v>
      </c>
      <c r="B22" t="s">
        <v>63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1732</v>
      </c>
      <c r="B23" t="s">
        <v>65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7"/>
  <sheetViews>
    <sheetView topLeftCell="A51" zoomScaleNormal="100" workbookViewId="0">
      <selection activeCell="H85" sqref="H8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1732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1732</v>
      </c>
      <c r="B3" t="s">
        <v>59</v>
      </c>
      <c r="C3" t="s">
        <v>70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1732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1732</v>
      </c>
      <c r="B5" t="s">
        <v>4</v>
      </c>
      <c r="C5" t="s">
        <v>70</v>
      </c>
      <c r="D5" t="s">
        <v>33</v>
      </c>
      <c r="H5">
        <v>600</v>
      </c>
      <c r="J5">
        <f t="shared" si="0"/>
        <v>600</v>
      </c>
      <c r="L5">
        <f t="shared" si="1"/>
        <v>0.26785714285714285</v>
      </c>
    </row>
    <row r="6" spans="1:12" x14ac:dyDescent="0.25">
      <c r="A6">
        <v>1732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1732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1732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1732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1732</v>
      </c>
      <c r="B10" t="s">
        <v>5</v>
      </c>
      <c r="C10" t="s">
        <v>70</v>
      </c>
      <c r="D10" t="s">
        <v>33</v>
      </c>
      <c r="F10">
        <v>27</v>
      </c>
      <c r="G10">
        <v>3</v>
      </c>
      <c r="H10">
        <v>21</v>
      </c>
      <c r="J10">
        <f t="shared" si="0"/>
        <v>3129</v>
      </c>
      <c r="L10">
        <f t="shared" si="1"/>
        <v>1.3968750000000001</v>
      </c>
    </row>
    <row r="11" spans="1:12" x14ac:dyDescent="0.25">
      <c r="A11">
        <v>1732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1732</v>
      </c>
      <c r="B12" t="s">
        <v>6</v>
      </c>
      <c r="C12" t="s">
        <v>70</v>
      </c>
      <c r="D12" t="s">
        <v>33</v>
      </c>
      <c r="F12">
        <v>182885</v>
      </c>
      <c r="G12">
        <v>2</v>
      </c>
      <c r="H12">
        <v>1</v>
      </c>
      <c r="J12">
        <f t="shared" si="0"/>
        <v>20483177</v>
      </c>
      <c r="L12">
        <f t="shared" si="1"/>
        <v>9144.2754464285717</v>
      </c>
    </row>
    <row r="13" spans="1:12" x14ac:dyDescent="0.25">
      <c r="A13">
        <v>1732</v>
      </c>
      <c r="B13" t="s">
        <v>103</v>
      </c>
      <c r="C13" t="s">
        <v>70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1732</v>
      </c>
      <c r="B14" t="s">
        <v>62</v>
      </c>
      <c r="C14" t="s">
        <v>70</v>
      </c>
      <c r="D14" t="s">
        <v>33</v>
      </c>
      <c r="H14">
        <v>433</v>
      </c>
      <c r="J14">
        <f t="shared" si="0"/>
        <v>433</v>
      </c>
      <c r="L14">
        <f t="shared" si="1"/>
        <v>0.19330357142857144</v>
      </c>
    </row>
    <row r="15" spans="1:12" x14ac:dyDescent="0.25">
      <c r="A15">
        <v>1732</v>
      </c>
      <c r="B15" t="s">
        <v>40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1732</v>
      </c>
      <c r="B16" t="s">
        <v>39</v>
      </c>
      <c r="C16" t="s">
        <v>70</v>
      </c>
      <c r="D16" t="s">
        <v>33</v>
      </c>
      <c r="H16">
        <v>3440</v>
      </c>
      <c r="J16">
        <f t="shared" si="0"/>
        <v>3440</v>
      </c>
      <c r="L16">
        <f t="shared" si="1"/>
        <v>1.5357142857142858</v>
      </c>
    </row>
    <row r="17" spans="1:12" x14ac:dyDescent="0.25">
      <c r="A17">
        <v>1732</v>
      </c>
      <c r="B17" t="s">
        <v>8</v>
      </c>
      <c r="C17" t="s">
        <v>70</v>
      </c>
      <c r="D17" t="s">
        <v>33</v>
      </c>
      <c r="F17">
        <v>157</v>
      </c>
      <c r="G17">
        <v>2</v>
      </c>
      <c r="H17">
        <v>11</v>
      </c>
      <c r="J17">
        <f t="shared" si="0"/>
        <v>17651</v>
      </c>
      <c r="L17">
        <f t="shared" si="1"/>
        <v>7.8799107142857139</v>
      </c>
    </row>
    <row r="18" spans="1:12" x14ac:dyDescent="0.25">
      <c r="A18">
        <v>1732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1732</v>
      </c>
      <c r="B19" t="s">
        <v>80</v>
      </c>
      <c r="C19" t="s">
        <v>70</v>
      </c>
      <c r="D19" t="s">
        <v>33</v>
      </c>
      <c r="H19">
        <v>874</v>
      </c>
      <c r="J19">
        <f t="shared" si="0"/>
        <v>874</v>
      </c>
      <c r="L19">
        <f t="shared" si="1"/>
        <v>0.39017857142857143</v>
      </c>
    </row>
    <row r="20" spans="1:12" x14ac:dyDescent="0.25">
      <c r="A20">
        <v>1732</v>
      </c>
      <c r="B20" t="s">
        <v>81</v>
      </c>
      <c r="C20" t="s">
        <v>70</v>
      </c>
      <c r="D20" t="s">
        <v>33</v>
      </c>
      <c r="H20">
        <v>4096</v>
      </c>
      <c r="J20">
        <f t="shared" si="0"/>
        <v>4096</v>
      </c>
      <c r="L20">
        <f t="shared" si="1"/>
        <v>1.8285714285714285</v>
      </c>
    </row>
    <row r="21" spans="1:12" x14ac:dyDescent="0.25">
      <c r="A21">
        <v>1732</v>
      </c>
      <c r="B21" t="s">
        <v>48</v>
      </c>
      <c r="C21" t="s">
        <v>70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1732</v>
      </c>
      <c r="B22" t="s">
        <v>9</v>
      </c>
      <c r="C22" t="s">
        <v>70</v>
      </c>
      <c r="D22" t="s">
        <v>33</v>
      </c>
      <c r="H22">
        <f>341*200</f>
        <v>68200</v>
      </c>
      <c r="I22" t="s">
        <v>124</v>
      </c>
      <c r="J22">
        <f t="shared" si="0"/>
        <v>68200</v>
      </c>
      <c r="L22">
        <f t="shared" si="1"/>
        <v>30.446428571428573</v>
      </c>
    </row>
    <row r="23" spans="1:12" x14ac:dyDescent="0.25">
      <c r="A23">
        <v>1732</v>
      </c>
      <c r="B23" t="s">
        <v>10</v>
      </c>
      <c r="C23" t="s">
        <v>70</v>
      </c>
      <c r="D23" t="s">
        <v>33</v>
      </c>
      <c r="F23">
        <v>3693</v>
      </c>
      <c r="G23">
        <v>3</v>
      </c>
      <c r="H23">
        <v>18</v>
      </c>
      <c r="J23">
        <f t="shared" si="0"/>
        <v>413718</v>
      </c>
      <c r="L23">
        <f t="shared" si="1"/>
        <v>184.69553571428571</v>
      </c>
    </row>
    <row r="24" spans="1:12" x14ac:dyDescent="0.25">
      <c r="A24">
        <v>1732</v>
      </c>
      <c r="B24" t="s">
        <v>11</v>
      </c>
      <c r="C24" t="s">
        <v>70</v>
      </c>
      <c r="D24" t="s">
        <v>33</v>
      </c>
      <c r="F24">
        <v>217</v>
      </c>
      <c r="G24">
        <v>1</v>
      </c>
      <c r="H24">
        <v>14</v>
      </c>
      <c r="J24">
        <f t="shared" si="0"/>
        <v>24346</v>
      </c>
      <c r="L24">
        <f t="shared" si="1"/>
        <v>10.86875</v>
      </c>
    </row>
    <row r="25" spans="1:12" x14ac:dyDescent="0.25">
      <c r="A25">
        <v>1732</v>
      </c>
      <c r="B25" t="s">
        <v>41</v>
      </c>
      <c r="C25" t="s">
        <v>70</v>
      </c>
      <c r="D25" t="s">
        <v>33</v>
      </c>
      <c r="H25">
        <v>19</v>
      </c>
      <c r="J25">
        <f t="shared" si="0"/>
        <v>19</v>
      </c>
      <c r="L25">
        <f t="shared" si="1"/>
        <v>8.4821428571428565E-3</v>
      </c>
    </row>
    <row r="26" spans="1:12" x14ac:dyDescent="0.25">
      <c r="A26">
        <v>1732</v>
      </c>
      <c r="B26" t="s">
        <v>82</v>
      </c>
      <c r="C26" t="s">
        <v>70</v>
      </c>
      <c r="D26" t="s">
        <v>33</v>
      </c>
      <c r="H26">
        <v>780</v>
      </c>
      <c r="J26">
        <f t="shared" si="0"/>
        <v>780</v>
      </c>
      <c r="L26">
        <f t="shared" si="1"/>
        <v>0.3482142857142857</v>
      </c>
    </row>
    <row r="27" spans="1:12" x14ac:dyDescent="0.25">
      <c r="A27">
        <v>1732</v>
      </c>
      <c r="B27" t="s">
        <v>106</v>
      </c>
      <c r="C27" t="s">
        <v>70</v>
      </c>
      <c r="D27" t="s">
        <v>33</v>
      </c>
      <c r="H27">
        <v>5804</v>
      </c>
      <c r="J27">
        <f t="shared" si="0"/>
        <v>5804</v>
      </c>
      <c r="L27">
        <f t="shared" si="1"/>
        <v>2.5910714285714285</v>
      </c>
    </row>
    <row r="28" spans="1:12" x14ac:dyDescent="0.25">
      <c r="A28">
        <v>1732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1732</v>
      </c>
      <c r="B29" t="s">
        <v>104</v>
      </c>
      <c r="C29" t="s">
        <v>70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1732</v>
      </c>
      <c r="B30" t="s">
        <v>12</v>
      </c>
      <c r="C30" t="s">
        <v>70</v>
      </c>
      <c r="D30" t="s">
        <v>33</v>
      </c>
      <c r="H30">
        <v>89640</v>
      </c>
      <c r="J30">
        <f t="shared" si="0"/>
        <v>89640</v>
      </c>
      <c r="L30">
        <f t="shared" si="1"/>
        <v>40.017857142857146</v>
      </c>
    </row>
    <row r="31" spans="1:12" x14ac:dyDescent="0.25">
      <c r="A31">
        <v>1732</v>
      </c>
      <c r="B31" t="s">
        <v>118</v>
      </c>
      <c r="C31" t="s">
        <v>70</v>
      </c>
      <c r="D31" t="s">
        <v>33</v>
      </c>
      <c r="H31">
        <v>3856</v>
      </c>
      <c r="J31">
        <f t="shared" si="0"/>
        <v>3856</v>
      </c>
      <c r="L31">
        <f t="shared" si="1"/>
        <v>1.7214285714285715</v>
      </c>
    </row>
    <row r="32" spans="1:12" x14ac:dyDescent="0.25">
      <c r="A32">
        <v>1732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1732</v>
      </c>
      <c r="B33" t="s">
        <v>13</v>
      </c>
      <c r="C33" t="s">
        <v>70</v>
      </c>
      <c r="D33" t="s">
        <v>33</v>
      </c>
      <c r="E33">
        <v>56</v>
      </c>
      <c r="F33">
        <v>17</v>
      </c>
      <c r="G33">
        <v>3</v>
      </c>
      <c r="H33">
        <v>20</v>
      </c>
      <c r="J33">
        <f t="shared" si="0"/>
        <v>127448</v>
      </c>
      <c r="L33">
        <f t="shared" si="1"/>
        <v>56.896428571428572</v>
      </c>
    </row>
    <row r="34" spans="1:12" x14ac:dyDescent="0.25">
      <c r="A34">
        <v>1732</v>
      </c>
      <c r="B34" t="s">
        <v>14</v>
      </c>
      <c r="C34" t="s">
        <v>70</v>
      </c>
      <c r="D34" t="s">
        <v>33</v>
      </c>
      <c r="H34">
        <v>79730</v>
      </c>
      <c r="I34" t="s">
        <v>119</v>
      </c>
      <c r="J34">
        <f t="shared" si="0"/>
        <v>79730</v>
      </c>
      <c r="L34">
        <f t="shared" si="1"/>
        <v>35.59375</v>
      </c>
    </row>
    <row r="35" spans="1:12" x14ac:dyDescent="0.25">
      <c r="A35">
        <v>1732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1732</v>
      </c>
      <c r="B36" t="s">
        <v>27</v>
      </c>
      <c r="C36" t="s">
        <v>70</v>
      </c>
      <c r="D36" t="s">
        <v>33</v>
      </c>
      <c r="H36">
        <v>74529</v>
      </c>
      <c r="I36" t="s">
        <v>122</v>
      </c>
      <c r="J36">
        <f t="shared" si="0"/>
        <v>74529</v>
      </c>
      <c r="L36">
        <f t="shared" si="1"/>
        <v>33.271875000000001</v>
      </c>
    </row>
    <row r="37" spans="1:12" x14ac:dyDescent="0.25">
      <c r="A37">
        <v>1732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1732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1732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1732</v>
      </c>
      <c r="B40" t="s">
        <v>49</v>
      </c>
      <c r="C40" t="s">
        <v>70</v>
      </c>
      <c r="D40" t="s">
        <v>33</v>
      </c>
      <c r="H40">
        <v>430</v>
      </c>
      <c r="I40" t="s">
        <v>120</v>
      </c>
      <c r="J40">
        <f t="shared" si="0"/>
        <v>430</v>
      </c>
      <c r="L40">
        <f t="shared" si="1"/>
        <v>0.19196428571428573</v>
      </c>
    </row>
    <row r="41" spans="1:12" x14ac:dyDescent="0.25">
      <c r="A41">
        <v>1732</v>
      </c>
      <c r="B41" t="s">
        <v>16</v>
      </c>
      <c r="C41" t="s">
        <v>70</v>
      </c>
      <c r="D41" t="s">
        <v>33</v>
      </c>
      <c r="H41">
        <v>322518</v>
      </c>
      <c r="J41">
        <f t="shared" si="0"/>
        <v>322518</v>
      </c>
      <c r="L41">
        <f t="shared" si="1"/>
        <v>143.98124999999999</v>
      </c>
    </row>
    <row r="42" spans="1:12" x14ac:dyDescent="0.25">
      <c r="A42">
        <v>1732</v>
      </c>
      <c r="B42" t="s">
        <v>17</v>
      </c>
      <c r="C42" t="s">
        <v>70</v>
      </c>
      <c r="D42" t="s">
        <v>33</v>
      </c>
      <c r="F42">
        <v>147</v>
      </c>
      <c r="G42">
        <v>1</v>
      </c>
      <c r="H42">
        <v>24</v>
      </c>
      <c r="J42">
        <f t="shared" si="0"/>
        <v>16516</v>
      </c>
      <c r="L42">
        <f t="shared" si="1"/>
        <v>7.3732142857142859</v>
      </c>
    </row>
    <row r="43" spans="1:12" x14ac:dyDescent="0.25">
      <c r="A43">
        <v>1732</v>
      </c>
      <c r="B43" t="s">
        <v>18</v>
      </c>
      <c r="C43" t="s">
        <v>70</v>
      </c>
      <c r="D43" t="s">
        <v>33</v>
      </c>
      <c r="H43">
        <v>1464831</v>
      </c>
      <c r="I43" t="s">
        <v>121</v>
      </c>
      <c r="J43">
        <f t="shared" si="0"/>
        <v>1464831</v>
      </c>
      <c r="L43">
        <f t="shared" si="1"/>
        <v>653.94241071428576</v>
      </c>
    </row>
    <row r="44" spans="1:12" x14ac:dyDescent="0.25">
      <c r="A44">
        <v>1732</v>
      </c>
      <c r="B44" t="s">
        <v>26</v>
      </c>
      <c r="C44" t="s">
        <v>70</v>
      </c>
      <c r="D44" t="s">
        <v>33</v>
      </c>
      <c r="H44">
        <v>7396</v>
      </c>
      <c r="J44">
        <f t="shared" si="0"/>
        <v>7396</v>
      </c>
      <c r="L44">
        <f t="shared" si="1"/>
        <v>3.3017857142857143</v>
      </c>
    </row>
    <row r="45" spans="1:12" x14ac:dyDescent="0.25">
      <c r="A45">
        <v>1732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1732</v>
      </c>
      <c r="B46" t="s">
        <v>19</v>
      </c>
      <c r="C46" t="s">
        <v>70</v>
      </c>
      <c r="D46" t="s">
        <v>33</v>
      </c>
      <c r="F46">
        <v>7</v>
      </c>
      <c r="J46">
        <f t="shared" si="0"/>
        <v>784</v>
      </c>
      <c r="L46">
        <f t="shared" si="1"/>
        <v>0.35</v>
      </c>
    </row>
    <row r="47" spans="1:12" x14ac:dyDescent="0.25">
      <c r="A47">
        <v>1732</v>
      </c>
      <c r="B47" t="s">
        <v>47</v>
      </c>
      <c r="C47" t="s">
        <v>70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1732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1732</v>
      </c>
      <c r="B49" t="s">
        <v>56</v>
      </c>
      <c r="C49" t="s">
        <v>70</v>
      </c>
      <c r="D49" t="s">
        <v>33</v>
      </c>
      <c r="H49">
        <v>1037</v>
      </c>
      <c r="J49">
        <f t="shared" si="0"/>
        <v>1037</v>
      </c>
      <c r="L49">
        <f t="shared" si="1"/>
        <v>0.46294642857142859</v>
      </c>
    </row>
    <row r="50" spans="1:12" x14ac:dyDescent="0.25">
      <c r="A50">
        <v>1732</v>
      </c>
      <c r="B50" t="s">
        <v>102</v>
      </c>
      <c r="C50" t="s">
        <v>70</v>
      </c>
      <c r="D50" t="s">
        <v>33</v>
      </c>
      <c r="H50">
        <v>632</v>
      </c>
      <c r="J50">
        <f t="shared" si="0"/>
        <v>632</v>
      </c>
      <c r="L50">
        <f t="shared" si="1"/>
        <v>0.28214285714285714</v>
      </c>
    </row>
    <row r="51" spans="1:12" x14ac:dyDescent="0.25">
      <c r="A51">
        <v>1732</v>
      </c>
      <c r="B51" t="s">
        <v>20</v>
      </c>
      <c r="C51" t="s">
        <v>70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1732</v>
      </c>
      <c r="B52" t="s">
        <v>21</v>
      </c>
      <c r="C52" t="s">
        <v>70</v>
      </c>
      <c r="D52" t="s">
        <v>33</v>
      </c>
      <c r="H52">
        <v>2711</v>
      </c>
      <c r="J52">
        <f t="shared" si="0"/>
        <v>2711</v>
      </c>
      <c r="L52">
        <f t="shared" si="1"/>
        <v>1.2102678571428571</v>
      </c>
    </row>
    <row r="53" spans="1:12" x14ac:dyDescent="0.25">
      <c r="A53">
        <v>1732</v>
      </c>
      <c r="B53" t="s">
        <v>22</v>
      </c>
      <c r="C53" t="s">
        <v>70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1732</v>
      </c>
      <c r="B54" t="s">
        <v>63</v>
      </c>
      <c r="C54" t="s">
        <v>70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1732</v>
      </c>
      <c r="B55" t="s">
        <v>105</v>
      </c>
      <c r="C55" t="s">
        <v>70</v>
      </c>
      <c r="D55" t="s">
        <v>33</v>
      </c>
      <c r="E55">
        <v>32</v>
      </c>
      <c r="F55">
        <v>1</v>
      </c>
      <c r="G55">
        <v>1</v>
      </c>
      <c r="H55">
        <v>3</v>
      </c>
      <c r="J55">
        <f t="shared" si="0"/>
        <v>71823</v>
      </c>
      <c r="L55">
        <f t="shared" si="1"/>
        <v>32.063839285714288</v>
      </c>
    </row>
    <row r="56" spans="1:12" x14ac:dyDescent="0.25">
      <c r="A56">
        <v>1732</v>
      </c>
      <c r="B56" t="s">
        <v>91</v>
      </c>
      <c r="C56" t="s">
        <v>70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1732</v>
      </c>
      <c r="B57" t="s">
        <v>64</v>
      </c>
      <c r="C57" t="s">
        <v>70</v>
      </c>
      <c r="D57" t="s">
        <v>33</v>
      </c>
      <c r="E57">
        <v>11</v>
      </c>
      <c r="F57">
        <v>12</v>
      </c>
      <c r="G57">
        <v>3</v>
      </c>
      <c r="H57">
        <v>24</v>
      </c>
      <c r="J57">
        <f t="shared" si="0"/>
        <v>26092</v>
      </c>
      <c r="L57">
        <f t="shared" si="1"/>
        <v>11.648214285714285</v>
      </c>
    </row>
    <row r="58" spans="1:12" x14ac:dyDescent="0.25">
      <c r="A58">
        <v>1732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1732</v>
      </c>
      <c r="B59" t="s">
        <v>65</v>
      </c>
      <c r="C59" t="s">
        <v>70</v>
      </c>
      <c r="D59" t="s">
        <v>33</v>
      </c>
      <c r="E59">
        <v>300</v>
      </c>
      <c r="F59">
        <v>13</v>
      </c>
      <c r="G59">
        <v>1</v>
      </c>
      <c r="H59">
        <v>21</v>
      </c>
      <c r="J59">
        <f t="shared" si="0"/>
        <v>673505</v>
      </c>
      <c r="L59">
        <f t="shared" si="1"/>
        <v>300.671875</v>
      </c>
    </row>
    <row r="60" spans="1:12" x14ac:dyDescent="0.25">
      <c r="A60">
        <v>1732</v>
      </c>
      <c r="B60" t="s">
        <v>93</v>
      </c>
      <c r="C60" t="s">
        <v>70</v>
      </c>
      <c r="D60" t="s">
        <v>33</v>
      </c>
      <c r="E60">
        <v>227</v>
      </c>
      <c r="F60">
        <v>18</v>
      </c>
      <c r="J60">
        <f t="shared" si="0"/>
        <v>510496</v>
      </c>
      <c r="L60">
        <f t="shared" si="1"/>
        <v>227.9</v>
      </c>
    </row>
    <row r="61" spans="1:12" x14ac:dyDescent="0.25">
      <c r="A61">
        <v>1732</v>
      </c>
      <c r="B61" t="s">
        <v>73</v>
      </c>
      <c r="C61" t="s">
        <v>70</v>
      </c>
      <c r="D61" t="s">
        <v>33</v>
      </c>
      <c r="F61">
        <v>2</v>
      </c>
      <c r="J61">
        <f t="shared" si="0"/>
        <v>224</v>
      </c>
      <c r="L61">
        <f t="shared" si="1"/>
        <v>0.1</v>
      </c>
    </row>
    <row r="62" spans="1:12" x14ac:dyDescent="0.25">
      <c r="A62">
        <v>1732</v>
      </c>
      <c r="B62" t="s">
        <v>123</v>
      </c>
      <c r="C62" t="s">
        <v>70</v>
      </c>
      <c r="D62" t="s">
        <v>33</v>
      </c>
      <c r="E62">
        <v>27</v>
      </c>
      <c r="J62">
        <f t="shared" si="0"/>
        <v>60480</v>
      </c>
      <c r="L62">
        <f t="shared" si="1"/>
        <v>27</v>
      </c>
    </row>
    <row r="63" spans="1:12" x14ac:dyDescent="0.25">
      <c r="A63">
        <v>1732</v>
      </c>
      <c r="B63" t="s">
        <v>66</v>
      </c>
      <c r="C63" t="s">
        <v>70</v>
      </c>
      <c r="D63" t="s">
        <v>33</v>
      </c>
      <c r="E63">
        <v>23</v>
      </c>
      <c r="J63">
        <f t="shared" si="0"/>
        <v>51520</v>
      </c>
      <c r="L63">
        <f t="shared" si="1"/>
        <v>23</v>
      </c>
    </row>
    <row r="64" spans="1:12" x14ac:dyDescent="0.25">
      <c r="A64">
        <v>1732</v>
      </c>
      <c r="B64" t="s">
        <v>67</v>
      </c>
      <c r="C64" t="s">
        <v>70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1732</v>
      </c>
      <c r="B65" t="s">
        <v>57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1732</v>
      </c>
      <c r="B66" t="s">
        <v>59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1732</v>
      </c>
      <c r="B67" t="s">
        <v>38</v>
      </c>
      <c r="C67" t="s">
        <v>70</v>
      </c>
      <c r="D67" t="s">
        <v>35</v>
      </c>
      <c r="H67">
        <v>300</v>
      </c>
      <c r="J67">
        <f t="shared" si="0"/>
        <v>300</v>
      </c>
      <c r="L67">
        <f t="shared" si="1"/>
        <v>0.13392857142857142</v>
      </c>
    </row>
    <row r="68" spans="1:12" x14ac:dyDescent="0.25">
      <c r="A68">
        <v>1732</v>
      </c>
      <c r="B68" t="s">
        <v>4</v>
      </c>
      <c r="C68" t="s">
        <v>70</v>
      </c>
      <c r="D68" t="s">
        <v>35</v>
      </c>
      <c r="H68">
        <v>20</v>
      </c>
      <c r="J68">
        <f t="shared" ref="J68:J127" si="2">(E68*2240)+(F68*112)+(G68*28)+H68</f>
        <v>20</v>
      </c>
      <c r="L68">
        <f t="shared" ref="L68:L127" si="3">J68/2240</f>
        <v>8.9285714285714281E-3</v>
      </c>
    </row>
    <row r="69" spans="1:12" x14ac:dyDescent="0.25">
      <c r="A69">
        <v>1732</v>
      </c>
      <c r="B69" t="s">
        <v>60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1732</v>
      </c>
      <c r="B70" t="s">
        <v>71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1732</v>
      </c>
      <c r="B71" t="s">
        <v>45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1732</v>
      </c>
      <c r="B72" t="s">
        <v>79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1732</v>
      </c>
      <c r="B73" t="s">
        <v>5</v>
      </c>
      <c r="C73" t="s">
        <v>70</v>
      </c>
      <c r="D73" t="s">
        <v>35</v>
      </c>
      <c r="F73">
        <v>15</v>
      </c>
      <c r="J73">
        <f t="shared" si="2"/>
        <v>1680</v>
      </c>
      <c r="L73">
        <f t="shared" si="3"/>
        <v>0.75</v>
      </c>
    </row>
    <row r="74" spans="1:12" x14ac:dyDescent="0.25">
      <c r="A74">
        <v>1732</v>
      </c>
      <c r="B74" t="s">
        <v>61</v>
      </c>
      <c r="C74" t="s">
        <v>70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1732</v>
      </c>
      <c r="B75" t="s">
        <v>6</v>
      </c>
      <c r="C75" t="s">
        <v>70</v>
      </c>
      <c r="D75" t="s">
        <v>35</v>
      </c>
      <c r="F75">
        <v>106184</v>
      </c>
      <c r="G75">
        <v>1</v>
      </c>
      <c r="H75">
        <v>13</v>
      </c>
      <c r="J75">
        <f t="shared" si="2"/>
        <v>11892649</v>
      </c>
      <c r="L75">
        <f t="shared" si="3"/>
        <v>5309.2183035714288</v>
      </c>
    </row>
    <row r="76" spans="1:12" x14ac:dyDescent="0.25">
      <c r="A76">
        <v>1732</v>
      </c>
      <c r="B76" t="s">
        <v>62</v>
      </c>
      <c r="C76" t="s">
        <v>70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1732</v>
      </c>
      <c r="B77" t="s">
        <v>40</v>
      </c>
      <c r="C77" t="s">
        <v>70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1732</v>
      </c>
      <c r="B78" t="s">
        <v>39</v>
      </c>
      <c r="C78" t="s">
        <v>70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1732</v>
      </c>
      <c r="B79" t="s">
        <v>8</v>
      </c>
      <c r="C79" t="s">
        <v>70</v>
      </c>
      <c r="D79" t="s">
        <v>35</v>
      </c>
      <c r="F79">
        <v>64</v>
      </c>
      <c r="G79">
        <v>1</v>
      </c>
      <c r="H79">
        <v>23</v>
      </c>
      <c r="J79">
        <f t="shared" si="2"/>
        <v>7219</v>
      </c>
      <c r="L79">
        <f t="shared" si="3"/>
        <v>3.2227678571428573</v>
      </c>
    </row>
    <row r="80" spans="1:12" x14ac:dyDescent="0.25">
      <c r="A80">
        <v>1732</v>
      </c>
      <c r="B80" t="s">
        <v>42</v>
      </c>
      <c r="C80" t="s">
        <v>70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1732</v>
      </c>
      <c r="B81" t="s">
        <v>80</v>
      </c>
      <c r="C81" t="s">
        <v>70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1732</v>
      </c>
      <c r="B82" t="s">
        <v>81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1732</v>
      </c>
      <c r="B83" t="s">
        <v>48</v>
      </c>
      <c r="C83" t="s">
        <v>70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1732</v>
      </c>
      <c r="B84" t="s">
        <v>9</v>
      </c>
      <c r="C84" t="s">
        <v>70</v>
      </c>
      <c r="D84" t="s">
        <v>35</v>
      </c>
      <c r="H84">
        <f>819*200+170</f>
        <v>163970</v>
      </c>
      <c r="I84" t="s">
        <v>152</v>
      </c>
      <c r="J84">
        <f t="shared" si="2"/>
        <v>163970</v>
      </c>
      <c r="L84">
        <f t="shared" si="3"/>
        <v>73.200892857142861</v>
      </c>
    </row>
    <row r="85" spans="1:12" x14ac:dyDescent="0.25">
      <c r="A85">
        <v>1732</v>
      </c>
      <c r="B85" t="s">
        <v>10</v>
      </c>
      <c r="C85" t="s">
        <v>70</v>
      </c>
      <c r="D85" t="s">
        <v>35</v>
      </c>
      <c r="F85">
        <v>6356</v>
      </c>
      <c r="G85">
        <v>3</v>
      </c>
      <c r="H85">
        <v>12</v>
      </c>
      <c r="J85">
        <f t="shared" si="2"/>
        <v>711968</v>
      </c>
      <c r="L85">
        <f t="shared" si="3"/>
        <v>317.84285714285716</v>
      </c>
    </row>
    <row r="86" spans="1:12" x14ac:dyDescent="0.25">
      <c r="A86">
        <v>1732</v>
      </c>
      <c r="B86" t="s">
        <v>11</v>
      </c>
      <c r="C86" t="s">
        <v>70</v>
      </c>
      <c r="D86" t="s">
        <v>35</v>
      </c>
      <c r="F86">
        <v>323</v>
      </c>
      <c r="G86">
        <v>3</v>
      </c>
      <c r="H86">
        <v>5</v>
      </c>
      <c r="J86">
        <f t="shared" si="2"/>
        <v>36265</v>
      </c>
      <c r="L86">
        <f t="shared" si="3"/>
        <v>16.189732142857142</v>
      </c>
    </row>
    <row r="87" spans="1:12" x14ac:dyDescent="0.25">
      <c r="A87">
        <v>1732</v>
      </c>
      <c r="B87" t="s">
        <v>41</v>
      </c>
      <c r="C87" t="s">
        <v>70</v>
      </c>
      <c r="D87" t="s">
        <v>35</v>
      </c>
      <c r="H87">
        <v>10</v>
      </c>
      <c r="J87">
        <f t="shared" si="2"/>
        <v>10</v>
      </c>
      <c r="L87">
        <f t="shared" si="3"/>
        <v>4.464285714285714E-3</v>
      </c>
    </row>
    <row r="88" spans="1:12" x14ac:dyDescent="0.25">
      <c r="A88">
        <v>1732</v>
      </c>
      <c r="B88" t="s">
        <v>82</v>
      </c>
      <c r="C88" t="s">
        <v>70</v>
      </c>
      <c r="D88" t="s">
        <v>35</v>
      </c>
      <c r="H88">
        <v>10217</v>
      </c>
      <c r="J88">
        <f t="shared" si="2"/>
        <v>10217</v>
      </c>
      <c r="L88">
        <f t="shared" si="3"/>
        <v>4.5611607142857142</v>
      </c>
    </row>
    <row r="89" spans="1:12" x14ac:dyDescent="0.25">
      <c r="A89">
        <v>1732</v>
      </c>
      <c r="B89" t="s">
        <v>83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1732</v>
      </c>
      <c r="B90" t="s">
        <v>46</v>
      </c>
      <c r="C90" t="s">
        <v>70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1732</v>
      </c>
      <c r="B91" t="s">
        <v>104</v>
      </c>
      <c r="C91" t="s">
        <v>70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1732</v>
      </c>
      <c r="B92" t="s">
        <v>12</v>
      </c>
      <c r="C92" t="s">
        <v>70</v>
      </c>
      <c r="D92" t="s">
        <v>35</v>
      </c>
      <c r="H92">
        <f>10278+122807</f>
        <v>133085</v>
      </c>
      <c r="J92">
        <f t="shared" si="2"/>
        <v>133085</v>
      </c>
      <c r="L92">
        <f t="shared" si="3"/>
        <v>59.412946428571431</v>
      </c>
    </row>
    <row r="93" spans="1:12" x14ac:dyDescent="0.25">
      <c r="A93">
        <v>1732</v>
      </c>
      <c r="B93" t="s">
        <v>86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1732</v>
      </c>
      <c r="B94" t="s">
        <v>34</v>
      </c>
      <c r="C94" t="s">
        <v>70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1732</v>
      </c>
      <c r="B95" t="s">
        <v>13</v>
      </c>
      <c r="C95" t="s">
        <v>70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1732</v>
      </c>
      <c r="B96" t="s">
        <v>14</v>
      </c>
      <c r="C96" t="s">
        <v>70</v>
      </c>
      <c r="D96" t="s">
        <v>35</v>
      </c>
      <c r="H96">
        <v>14815</v>
      </c>
      <c r="I96" t="s">
        <v>148</v>
      </c>
      <c r="J96">
        <f t="shared" si="2"/>
        <v>14815</v>
      </c>
      <c r="L96">
        <f t="shared" si="3"/>
        <v>6.6138392857142856</v>
      </c>
    </row>
    <row r="97" spans="1:12" x14ac:dyDescent="0.25">
      <c r="A97">
        <v>1732</v>
      </c>
      <c r="B97" t="s">
        <v>23</v>
      </c>
      <c r="C97" t="s">
        <v>70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1732</v>
      </c>
      <c r="B98" t="s">
        <v>27</v>
      </c>
      <c r="C98" t="s">
        <v>70</v>
      </c>
      <c r="D98" t="s">
        <v>35</v>
      </c>
      <c r="H98">
        <v>20575</v>
      </c>
      <c r="I98" t="s">
        <v>151</v>
      </c>
      <c r="J98">
        <f t="shared" si="2"/>
        <v>20575</v>
      </c>
      <c r="L98">
        <f t="shared" si="3"/>
        <v>9.1852678571428577</v>
      </c>
    </row>
    <row r="99" spans="1:12" x14ac:dyDescent="0.25">
      <c r="A99">
        <v>1732</v>
      </c>
      <c r="B99" t="s">
        <v>15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1732</v>
      </c>
      <c r="B100" t="s">
        <v>98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1732</v>
      </c>
      <c r="B101" t="s">
        <v>44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1732</v>
      </c>
      <c r="B102" t="s">
        <v>87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1732</v>
      </c>
      <c r="B103" t="s">
        <v>49</v>
      </c>
      <c r="C103" t="s">
        <v>70</v>
      </c>
      <c r="D103" t="s">
        <v>35</v>
      </c>
      <c r="H103">
        <v>30</v>
      </c>
      <c r="I103" t="s">
        <v>149</v>
      </c>
      <c r="J103">
        <f t="shared" si="2"/>
        <v>30</v>
      </c>
      <c r="L103">
        <f t="shared" si="3"/>
        <v>1.3392857142857142E-2</v>
      </c>
    </row>
    <row r="104" spans="1:12" x14ac:dyDescent="0.25">
      <c r="A104">
        <v>1732</v>
      </c>
      <c r="B104" t="s">
        <v>16</v>
      </c>
      <c r="C104" t="s">
        <v>70</v>
      </c>
      <c r="D104" t="s">
        <v>35</v>
      </c>
      <c r="H104">
        <v>151848</v>
      </c>
      <c r="J104">
        <f t="shared" si="2"/>
        <v>151848</v>
      </c>
      <c r="L104">
        <f t="shared" si="3"/>
        <v>67.789285714285711</v>
      </c>
    </row>
    <row r="105" spans="1:12" x14ac:dyDescent="0.25">
      <c r="A105">
        <v>1732</v>
      </c>
      <c r="B105" t="s">
        <v>17</v>
      </c>
      <c r="C105" t="s">
        <v>70</v>
      </c>
      <c r="D105" t="s">
        <v>35</v>
      </c>
      <c r="F105">
        <v>10</v>
      </c>
      <c r="H105">
        <v>12</v>
      </c>
      <c r="J105">
        <f t="shared" si="2"/>
        <v>1132</v>
      </c>
      <c r="L105">
        <f t="shared" si="3"/>
        <v>0.50535714285714284</v>
      </c>
    </row>
    <row r="106" spans="1:12" x14ac:dyDescent="0.25">
      <c r="A106">
        <v>1732</v>
      </c>
      <c r="B106" t="s">
        <v>18</v>
      </c>
      <c r="C106" t="s">
        <v>70</v>
      </c>
      <c r="D106" t="s">
        <v>35</v>
      </c>
      <c r="H106">
        <v>171229</v>
      </c>
      <c r="I106" t="s">
        <v>150</v>
      </c>
      <c r="J106">
        <f t="shared" si="2"/>
        <v>171229</v>
      </c>
      <c r="L106">
        <f t="shared" si="3"/>
        <v>76.441517857142856</v>
      </c>
    </row>
    <row r="107" spans="1:12" x14ac:dyDescent="0.25">
      <c r="A107">
        <v>1732</v>
      </c>
      <c r="B107" t="s">
        <v>26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1732</v>
      </c>
      <c r="B108" t="s">
        <v>88</v>
      </c>
      <c r="C108" t="s">
        <v>70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1732</v>
      </c>
      <c r="B109" t="s">
        <v>19</v>
      </c>
      <c r="C109" t="s">
        <v>70</v>
      </c>
      <c r="D109" t="s">
        <v>35</v>
      </c>
      <c r="F109">
        <v>12</v>
      </c>
      <c r="G109">
        <v>3</v>
      </c>
      <c r="H109">
        <v>30</v>
      </c>
      <c r="J109">
        <f t="shared" si="2"/>
        <v>1458</v>
      </c>
      <c r="L109">
        <f t="shared" si="3"/>
        <v>0.65089285714285716</v>
      </c>
    </row>
    <row r="110" spans="1:12" x14ac:dyDescent="0.25">
      <c r="A110">
        <v>1732</v>
      </c>
      <c r="B110" t="s">
        <v>47</v>
      </c>
      <c r="C110" t="s">
        <v>70</v>
      </c>
      <c r="D110" t="s">
        <v>35</v>
      </c>
      <c r="H110">
        <v>7197</v>
      </c>
      <c r="J110">
        <f t="shared" si="2"/>
        <v>7197</v>
      </c>
      <c r="L110">
        <f t="shared" si="3"/>
        <v>3.2129464285714286</v>
      </c>
    </row>
    <row r="111" spans="1:12" x14ac:dyDescent="0.25">
      <c r="A111">
        <v>1732</v>
      </c>
      <c r="B111" t="s">
        <v>89</v>
      </c>
      <c r="C111" t="s">
        <v>70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1732</v>
      </c>
      <c r="B112" t="s">
        <v>56</v>
      </c>
      <c r="C112" t="s">
        <v>70</v>
      </c>
      <c r="D112" t="s">
        <v>35</v>
      </c>
      <c r="H112">
        <v>228</v>
      </c>
      <c r="J112">
        <f t="shared" si="2"/>
        <v>228</v>
      </c>
      <c r="L112">
        <f t="shared" si="3"/>
        <v>0.10178571428571428</v>
      </c>
    </row>
    <row r="113" spans="1:12" x14ac:dyDescent="0.25">
      <c r="A113">
        <v>1732</v>
      </c>
      <c r="B113" t="s">
        <v>102</v>
      </c>
      <c r="C113" t="s">
        <v>70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1732</v>
      </c>
      <c r="B114" t="s">
        <v>20</v>
      </c>
      <c r="C114" t="s">
        <v>70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1732</v>
      </c>
      <c r="B115" t="s">
        <v>21</v>
      </c>
      <c r="C115" t="s">
        <v>70</v>
      </c>
      <c r="D115" t="s">
        <v>35</v>
      </c>
      <c r="H115">
        <v>1295</v>
      </c>
      <c r="J115">
        <f t="shared" si="2"/>
        <v>1295</v>
      </c>
      <c r="L115">
        <f t="shared" si="3"/>
        <v>0.578125</v>
      </c>
    </row>
    <row r="116" spans="1:12" x14ac:dyDescent="0.25">
      <c r="A116">
        <v>1732</v>
      </c>
      <c r="B116" t="s">
        <v>22</v>
      </c>
      <c r="C116" t="s">
        <v>70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1732</v>
      </c>
      <c r="B117" t="s">
        <v>63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1732</v>
      </c>
      <c r="B118" t="s">
        <v>96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1732</v>
      </c>
      <c r="B119" t="s">
        <v>105</v>
      </c>
      <c r="C119" t="s">
        <v>70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1732</v>
      </c>
      <c r="B120" t="s">
        <v>91</v>
      </c>
      <c r="C120" t="s">
        <v>70</v>
      </c>
      <c r="D120" t="s">
        <v>35</v>
      </c>
      <c r="E120">
        <v>65</v>
      </c>
      <c r="F120">
        <v>3</v>
      </c>
      <c r="H120">
        <v>22</v>
      </c>
      <c r="J120">
        <f t="shared" si="2"/>
        <v>145958</v>
      </c>
      <c r="L120">
        <f t="shared" si="3"/>
        <v>65.159821428571433</v>
      </c>
    </row>
    <row r="121" spans="1:12" x14ac:dyDescent="0.25">
      <c r="A121">
        <v>1732</v>
      </c>
      <c r="B121" t="s">
        <v>64</v>
      </c>
      <c r="C121" t="s">
        <v>70</v>
      </c>
      <c r="D121" t="s">
        <v>35</v>
      </c>
      <c r="E121">
        <v>3</v>
      </c>
      <c r="F121">
        <v>11</v>
      </c>
      <c r="G121">
        <v>3</v>
      </c>
      <c r="H121">
        <v>26</v>
      </c>
      <c r="J121">
        <f t="shared" si="2"/>
        <v>8062</v>
      </c>
      <c r="L121">
        <f t="shared" si="3"/>
        <v>3.5991071428571431</v>
      </c>
    </row>
    <row r="122" spans="1:12" x14ac:dyDescent="0.25">
      <c r="A122">
        <v>1732</v>
      </c>
      <c r="B122" t="s">
        <v>92</v>
      </c>
      <c r="C122" t="s">
        <v>70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1732</v>
      </c>
      <c r="B123" t="s">
        <v>65</v>
      </c>
      <c r="C123" t="s">
        <v>70</v>
      </c>
      <c r="D123" t="s">
        <v>35</v>
      </c>
      <c r="E123">
        <v>316</v>
      </c>
      <c r="F123">
        <v>17</v>
      </c>
      <c r="H123">
        <v>20</v>
      </c>
      <c r="J123">
        <f t="shared" si="2"/>
        <v>709764</v>
      </c>
      <c r="L123">
        <f t="shared" si="3"/>
        <v>316.85892857142858</v>
      </c>
    </row>
    <row r="124" spans="1:12" x14ac:dyDescent="0.25">
      <c r="A124">
        <v>1732</v>
      </c>
      <c r="B124" t="s">
        <v>93</v>
      </c>
      <c r="C124" t="s">
        <v>70</v>
      </c>
      <c r="D124" t="s">
        <v>35</v>
      </c>
      <c r="E124">
        <v>106</v>
      </c>
      <c r="F124">
        <v>4</v>
      </c>
      <c r="G124">
        <v>3</v>
      </c>
      <c r="H124">
        <v>14</v>
      </c>
      <c r="J124">
        <f t="shared" si="2"/>
        <v>237986</v>
      </c>
      <c r="L124">
        <f t="shared" si="3"/>
        <v>106.24375000000001</v>
      </c>
    </row>
    <row r="125" spans="1:12" x14ac:dyDescent="0.25">
      <c r="A125">
        <v>1732</v>
      </c>
      <c r="B125" t="s">
        <v>73</v>
      </c>
      <c r="C125" t="s">
        <v>70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1732</v>
      </c>
      <c r="B126" t="s">
        <v>66</v>
      </c>
      <c r="C126" t="s">
        <v>70</v>
      </c>
      <c r="D126" t="s">
        <v>35</v>
      </c>
      <c r="E126">
        <v>94</v>
      </c>
      <c r="F126">
        <v>7</v>
      </c>
      <c r="G126">
        <v>2</v>
      </c>
      <c r="H126">
        <v>8</v>
      </c>
      <c r="J126">
        <f t="shared" si="2"/>
        <v>211408</v>
      </c>
      <c r="L126">
        <f t="shared" si="3"/>
        <v>94.378571428571433</v>
      </c>
    </row>
    <row r="127" spans="1:12" x14ac:dyDescent="0.25">
      <c r="A127">
        <v>1732</v>
      </c>
      <c r="B127" t="s">
        <v>67</v>
      </c>
      <c r="C127" t="s">
        <v>70</v>
      </c>
      <c r="D127" t="s">
        <v>35</v>
      </c>
      <c r="F127">
        <v>20</v>
      </c>
      <c r="J127">
        <f t="shared" si="2"/>
        <v>2240</v>
      </c>
      <c r="L127">
        <f t="shared" si="3"/>
        <v>1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topLeftCell="A20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1732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1732</v>
      </c>
      <c r="B3" t="s">
        <v>59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1732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1732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1732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1732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1732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1732</v>
      </c>
      <c r="B9" t="s">
        <v>5</v>
      </c>
      <c r="C9" t="s">
        <v>75</v>
      </c>
      <c r="D9" t="s">
        <v>33</v>
      </c>
      <c r="F9">
        <v>5</v>
      </c>
      <c r="J9">
        <f t="shared" si="0"/>
        <v>560</v>
      </c>
      <c r="L9">
        <f t="shared" si="1"/>
        <v>0.25</v>
      </c>
    </row>
    <row r="10" spans="1:12" x14ac:dyDescent="0.25">
      <c r="A10">
        <v>1732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1732</v>
      </c>
      <c r="B11" t="s">
        <v>6</v>
      </c>
      <c r="C11" t="s">
        <v>75</v>
      </c>
      <c r="D11" t="s">
        <v>33</v>
      </c>
      <c r="F11">
        <v>45531</v>
      </c>
      <c r="G11">
        <v>1</v>
      </c>
      <c r="H11">
        <v>24</v>
      </c>
      <c r="J11">
        <f t="shared" si="0"/>
        <v>5099524</v>
      </c>
      <c r="L11">
        <f t="shared" si="1"/>
        <v>2276.5732142857141</v>
      </c>
    </row>
    <row r="12" spans="1:12" x14ac:dyDescent="0.25">
      <c r="A12">
        <v>1732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1732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1732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1732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1732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1732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1732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1732</v>
      </c>
      <c r="B19" t="s">
        <v>9</v>
      </c>
      <c r="C19" t="s">
        <v>75</v>
      </c>
      <c r="D19" t="s">
        <v>33</v>
      </c>
      <c r="H19">
        <f>132*200</f>
        <v>26400</v>
      </c>
      <c r="I19" t="s">
        <v>129</v>
      </c>
      <c r="J19">
        <f t="shared" si="0"/>
        <v>26400</v>
      </c>
      <c r="L19">
        <f t="shared" si="1"/>
        <v>11.785714285714286</v>
      </c>
    </row>
    <row r="20" spans="1:12" x14ac:dyDescent="0.25">
      <c r="A20">
        <v>1732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1732</v>
      </c>
      <c r="B21" t="s">
        <v>11</v>
      </c>
      <c r="C21" t="s">
        <v>75</v>
      </c>
      <c r="D21" t="s">
        <v>33</v>
      </c>
      <c r="F21">
        <v>1</v>
      </c>
      <c r="G21">
        <v>2</v>
      </c>
      <c r="J21">
        <f t="shared" si="0"/>
        <v>168</v>
      </c>
      <c r="L21">
        <f t="shared" si="1"/>
        <v>7.4999999999999997E-2</v>
      </c>
    </row>
    <row r="22" spans="1:12" x14ac:dyDescent="0.25">
      <c r="A22">
        <v>1732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1732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1732</v>
      </c>
      <c r="B24" t="s">
        <v>12</v>
      </c>
      <c r="C24" t="s">
        <v>75</v>
      </c>
      <c r="D24" t="s">
        <v>33</v>
      </c>
      <c r="H24">
        <v>672</v>
      </c>
      <c r="J24">
        <f t="shared" si="0"/>
        <v>672</v>
      </c>
      <c r="L24">
        <f t="shared" si="1"/>
        <v>0.3</v>
      </c>
    </row>
    <row r="25" spans="1:12" x14ac:dyDescent="0.25">
      <c r="A25">
        <v>1732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1732</v>
      </c>
      <c r="B26" t="s">
        <v>13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1732</v>
      </c>
      <c r="B27" t="s">
        <v>14</v>
      </c>
      <c r="C27" t="s">
        <v>75</v>
      </c>
      <c r="D27" t="s">
        <v>33</v>
      </c>
      <c r="H27">
        <v>7022</v>
      </c>
      <c r="I27" t="s">
        <v>125</v>
      </c>
      <c r="J27">
        <f t="shared" si="0"/>
        <v>7022</v>
      </c>
      <c r="L27">
        <f t="shared" si="1"/>
        <v>3.1348214285714286</v>
      </c>
    </row>
    <row r="28" spans="1:12" x14ac:dyDescent="0.25">
      <c r="A28">
        <v>1732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1732</v>
      </c>
      <c r="B29" t="s">
        <v>27</v>
      </c>
      <c r="C29" t="s">
        <v>75</v>
      </c>
      <c r="D29" t="s">
        <v>33</v>
      </c>
      <c r="H29">
        <v>2220.5</v>
      </c>
      <c r="I29" t="s">
        <v>128</v>
      </c>
      <c r="J29">
        <f t="shared" si="0"/>
        <v>2220.5</v>
      </c>
      <c r="L29">
        <f t="shared" si="1"/>
        <v>0.99129464285714286</v>
      </c>
    </row>
    <row r="30" spans="1:12" x14ac:dyDescent="0.25">
      <c r="A30">
        <v>1732</v>
      </c>
      <c r="B30" t="s">
        <v>15</v>
      </c>
      <c r="C30" t="s">
        <v>75</v>
      </c>
      <c r="D30" t="s">
        <v>33</v>
      </c>
      <c r="F30">
        <v>3</v>
      </c>
      <c r="J30">
        <f t="shared" si="0"/>
        <v>336</v>
      </c>
      <c r="L30">
        <f t="shared" si="1"/>
        <v>0.15</v>
      </c>
    </row>
    <row r="31" spans="1:12" x14ac:dyDescent="0.25">
      <c r="A31">
        <v>1732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1732</v>
      </c>
      <c r="B32" t="s">
        <v>49</v>
      </c>
      <c r="C32" t="s">
        <v>75</v>
      </c>
      <c r="D32" t="s">
        <v>33</v>
      </c>
      <c r="H32">
        <v>15</v>
      </c>
      <c r="I32" t="s">
        <v>126</v>
      </c>
      <c r="J32">
        <f t="shared" si="0"/>
        <v>15</v>
      </c>
      <c r="L32">
        <f t="shared" si="1"/>
        <v>6.6964285714285711E-3</v>
      </c>
    </row>
    <row r="33" spans="1:12" x14ac:dyDescent="0.25">
      <c r="A33">
        <v>1732</v>
      </c>
      <c r="B33" t="s">
        <v>16</v>
      </c>
      <c r="C33" t="s">
        <v>75</v>
      </c>
      <c r="D33" t="s">
        <v>33</v>
      </c>
      <c r="H33">
        <v>9247</v>
      </c>
      <c r="J33">
        <f t="shared" si="0"/>
        <v>9247</v>
      </c>
      <c r="L33">
        <f t="shared" si="1"/>
        <v>4.1281249999999998</v>
      </c>
    </row>
    <row r="34" spans="1:12" x14ac:dyDescent="0.25">
      <c r="A34">
        <v>1732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1732</v>
      </c>
      <c r="B35" t="s">
        <v>18</v>
      </c>
      <c r="C35" t="s">
        <v>75</v>
      </c>
      <c r="D35" t="s">
        <v>33</v>
      </c>
      <c r="H35">
        <v>87962.5</v>
      </c>
      <c r="I35" t="s">
        <v>127</v>
      </c>
      <c r="J35">
        <f t="shared" si="0"/>
        <v>87962.5</v>
      </c>
      <c r="L35">
        <f t="shared" si="1"/>
        <v>39.268973214285715</v>
      </c>
    </row>
    <row r="36" spans="1:12" x14ac:dyDescent="0.25">
      <c r="A36">
        <v>1732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1732</v>
      </c>
      <c r="B37" t="s">
        <v>19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1732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1732</v>
      </c>
      <c r="B39" t="s">
        <v>56</v>
      </c>
      <c r="C39" t="s">
        <v>75</v>
      </c>
      <c r="D39" t="s">
        <v>33</v>
      </c>
      <c r="H39">
        <v>46</v>
      </c>
      <c r="J39">
        <f t="shared" si="0"/>
        <v>46</v>
      </c>
      <c r="L39">
        <f t="shared" si="1"/>
        <v>2.0535714285714286E-2</v>
      </c>
    </row>
    <row r="40" spans="1:12" x14ac:dyDescent="0.25">
      <c r="A40">
        <v>1732</v>
      </c>
      <c r="B40" t="s">
        <v>102</v>
      </c>
      <c r="C40" t="s">
        <v>75</v>
      </c>
      <c r="D40" t="s">
        <v>33</v>
      </c>
      <c r="H40">
        <v>12</v>
      </c>
      <c r="J40">
        <f t="shared" si="0"/>
        <v>12</v>
      </c>
      <c r="L40">
        <f t="shared" si="1"/>
        <v>5.3571428571428572E-3</v>
      </c>
    </row>
    <row r="41" spans="1:12" x14ac:dyDescent="0.25">
      <c r="A41">
        <v>1732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1732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1732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1732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1732</v>
      </c>
      <c r="B45" t="s">
        <v>64</v>
      </c>
      <c r="C45" t="s">
        <v>75</v>
      </c>
      <c r="D45" t="s">
        <v>33</v>
      </c>
      <c r="E45">
        <v>2</v>
      </c>
      <c r="F45">
        <v>5</v>
      </c>
      <c r="J45">
        <f t="shared" si="0"/>
        <v>5040</v>
      </c>
      <c r="L45">
        <f t="shared" si="1"/>
        <v>2.25</v>
      </c>
    </row>
    <row r="46" spans="1:12" x14ac:dyDescent="0.25">
      <c r="A46">
        <v>1732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1732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1732</v>
      </c>
      <c r="B48" t="s">
        <v>66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1732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1732</v>
      </c>
      <c r="B50" t="s">
        <v>6</v>
      </c>
      <c r="C50" t="s">
        <v>75</v>
      </c>
      <c r="D50" t="s">
        <v>35</v>
      </c>
      <c r="F50">
        <v>1429</v>
      </c>
      <c r="G50">
        <v>2</v>
      </c>
      <c r="H50">
        <v>13</v>
      </c>
      <c r="J50">
        <f t="shared" si="0"/>
        <v>160117</v>
      </c>
      <c r="L50">
        <f t="shared" si="1"/>
        <v>71.480803571428567</v>
      </c>
    </row>
    <row r="51" spans="1:12" x14ac:dyDescent="0.25">
      <c r="A51">
        <v>1732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1732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1732</v>
      </c>
      <c r="B53" t="s">
        <v>9</v>
      </c>
      <c r="C53" t="s">
        <v>75</v>
      </c>
      <c r="D53" t="s">
        <v>35</v>
      </c>
      <c r="H53">
        <f>48*200</f>
        <v>9600</v>
      </c>
      <c r="I53" t="s">
        <v>154</v>
      </c>
      <c r="J53">
        <f t="shared" si="0"/>
        <v>9600</v>
      </c>
      <c r="L53">
        <f t="shared" si="1"/>
        <v>4.2857142857142856</v>
      </c>
    </row>
    <row r="54" spans="1:12" x14ac:dyDescent="0.25">
      <c r="A54">
        <v>1732</v>
      </c>
      <c r="B54" t="s">
        <v>10</v>
      </c>
      <c r="C54" t="s">
        <v>75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1732</v>
      </c>
      <c r="B55" t="s">
        <v>11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1732</v>
      </c>
      <c r="B56" t="s">
        <v>12</v>
      </c>
      <c r="C56" t="s">
        <v>75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1732</v>
      </c>
      <c r="B57" t="s">
        <v>13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1732</v>
      </c>
      <c r="B58" t="s">
        <v>14</v>
      </c>
      <c r="C58" t="s">
        <v>75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1732</v>
      </c>
      <c r="B59" t="s">
        <v>27</v>
      </c>
      <c r="C59" t="s">
        <v>75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1732</v>
      </c>
      <c r="B60" t="s">
        <v>15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1732</v>
      </c>
      <c r="B61" t="s">
        <v>16</v>
      </c>
      <c r="C61" t="s">
        <v>75</v>
      </c>
      <c r="D61" t="s">
        <v>35</v>
      </c>
      <c r="H61">
        <v>242</v>
      </c>
      <c r="J61">
        <f t="shared" si="0"/>
        <v>242</v>
      </c>
      <c r="L61">
        <f t="shared" si="1"/>
        <v>0.10803571428571429</v>
      </c>
    </row>
    <row r="62" spans="1:12" x14ac:dyDescent="0.25">
      <c r="A62">
        <v>1732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1732</v>
      </c>
      <c r="B63" t="s">
        <v>18</v>
      </c>
      <c r="C63" t="s">
        <v>75</v>
      </c>
      <c r="D63" t="s">
        <v>35</v>
      </c>
      <c r="H63">
        <v>13850</v>
      </c>
      <c r="I63" t="s">
        <v>153</v>
      </c>
      <c r="J63">
        <f t="shared" si="0"/>
        <v>13850</v>
      </c>
      <c r="L63">
        <f t="shared" si="1"/>
        <v>6.1830357142857144</v>
      </c>
    </row>
    <row r="64" spans="1:12" x14ac:dyDescent="0.25">
      <c r="A64">
        <v>1732</v>
      </c>
      <c r="B64" t="s">
        <v>19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1732</v>
      </c>
      <c r="B65" t="s">
        <v>56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1732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1732</v>
      </c>
      <c r="B67" t="s">
        <v>22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1732</v>
      </c>
      <c r="B68" t="s">
        <v>64</v>
      </c>
      <c r="C68" t="s">
        <v>75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1732</v>
      </c>
      <c r="B69" t="s">
        <v>66</v>
      </c>
      <c r="C69" t="s">
        <v>75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9"/>
  <sheetViews>
    <sheetView topLeftCell="A21" workbookViewId="0">
      <selection activeCell="H55" sqref="H5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1732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1732</v>
      </c>
      <c r="B3" t="s">
        <v>59</v>
      </c>
      <c r="C3" t="s">
        <v>76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1732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1732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1732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1732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1732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1732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1732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1732</v>
      </c>
      <c r="B11" t="s">
        <v>6</v>
      </c>
      <c r="C11" t="s">
        <v>76</v>
      </c>
      <c r="D11" t="s">
        <v>33</v>
      </c>
      <c r="F11">
        <v>44255</v>
      </c>
      <c r="G11">
        <v>1</v>
      </c>
      <c r="H11">
        <v>22</v>
      </c>
      <c r="J11">
        <f t="shared" si="0"/>
        <v>4956610</v>
      </c>
      <c r="L11">
        <f t="shared" si="1"/>
        <v>2212.7723214285716</v>
      </c>
    </row>
    <row r="12" spans="1:12" x14ac:dyDescent="0.25">
      <c r="A12">
        <v>1732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1732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1732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1732</v>
      </c>
      <c r="B15" t="s">
        <v>8</v>
      </c>
      <c r="C15" t="s">
        <v>76</v>
      </c>
      <c r="D15" t="s">
        <v>33</v>
      </c>
      <c r="F15">
        <v>1</v>
      </c>
      <c r="J15">
        <f t="shared" si="0"/>
        <v>112</v>
      </c>
      <c r="L15">
        <f t="shared" si="1"/>
        <v>0.05</v>
      </c>
    </row>
    <row r="16" spans="1:12" x14ac:dyDescent="0.25">
      <c r="A16">
        <v>1732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1732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1732</v>
      </c>
      <c r="B18" t="s">
        <v>9</v>
      </c>
      <c r="C18" t="s">
        <v>76</v>
      </c>
      <c r="D18" t="s">
        <v>33</v>
      </c>
      <c r="H18">
        <f>88*200</f>
        <v>17600</v>
      </c>
      <c r="I18" t="s">
        <v>134</v>
      </c>
      <c r="J18">
        <f t="shared" si="0"/>
        <v>17600</v>
      </c>
      <c r="L18">
        <f t="shared" si="1"/>
        <v>7.8571428571428568</v>
      </c>
    </row>
    <row r="19" spans="1:12" x14ac:dyDescent="0.25">
      <c r="A19">
        <v>1732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1732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1732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1732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1732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1732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1732</v>
      </c>
      <c r="B25" t="s">
        <v>13</v>
      </c>
      <c r="C25" t="s">
        <v>76</v>
      </c>
      <c r="D25" t="s">
        <v>33</v>
      </c>
      <c r="E25">
        <v>5</v>
      </c>
      <c r="G25">
        <v>2</v>
      </c>
      <c r="H25">
        <v>7</v>
      </c>
      <c r="J25">
        <f t="shared" si="0"/>
        <v>11263</v>
      </c>
      <c r="L25">
        <f t="shared" si="1"/>
        <v>5.0281250000000002</v>
      </c>
    </row>
    <row r="26" spans="1:12" x14ac:dyDescent="0.25">
      <c r="A26">
        <v>1732</v>
      </c>
      <c r="B26" t="s">
        <v>14</v>
      </c>
      <c r="C26" t="s">
        <v>76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1732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1732</v>
      </c>
      <c r="B28" t="s">
        <v>27</v>
      </c>
      <c r="C28" t="s">
        <v>76</v>
      </c>
      <c r="D28" t="s">
        <v>33</v>
      </c>
      <c r="H28">
        <v>9602.5</v>
      </c>
      <c r="I28" t="s">
        <v>132</v>
      </c>
      <c r="J28">
        <f t="shared" si="0"/>
        <v>9602.5</v>
      </c>
      <c r="L28">
        <f t="shared" si="1"/>
        <v>4.2868303571428568</v>
      </c>
    </row>
    <row r="29" spans="1:12" x14ac:dyDescent="0.25">
      <c r="A29">
        <v>1732</v>
      </c>
      <c r="B29" t="s">
        <v>15</v>
      </c>
      <c r="C29" t="s">
        <v>76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1732</v>
      </c>
      <c r="B30" t="s">
        <v>44</v>
      </c>
      <c r="C30" t="s">
        <v>76</v>
      </c>
      <c r="D30" t="s">
        <v>33</v>
      </c>
      <c r="F30">
        <v>9</v>
      </c>
      <c r="G30">
        <v>2</v>
      </c>
      <c r="J30">
        <f t="shared" si="0"/>
        <v>1064</v>
      </c>
      <c r="L30">
        <f t="shared" si="1"/>
        <v>0.47499999999999998</v>
      </c>
    </row>
    <row r="31" spans="1:12" x14ac:dyDescent="0.25">
      <c r="A31">
        <v>1732</v>
      </c>
      <c r="B31" t="s">
        <v>49</v>
      </c>
      <c r="C31" t="s">
        <v>76</v>
      </c>
      <c r="D31" t="s">
        <v>33</v>
      </c>
      <c r="H31">
        <v>60</v>
      </c>
      <c r="I31" t="s">
        <v>130</v>
      </c>
      <c r="J31">
        <f t="shared" si="0"/>
        <v>60</v>
      </c>
      <c r="L31">
        <f t="shared" si="1"/>
        <v>2.6785714285714284E-2</v>
      </c>
    </row>
    <row r="32" spans="1:12" x14ac:dyDescent="0.25">
      <c r="A32">
        <v>1732</v>
      </c>
      <c r="B32" t="s">
        <v>16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1732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1732</v>
      </c>
      <c r="B34" t="s">
        <v>18</v>
      </c>
      <c r="C34" t="s">
        <v>76</v>
      </c>
      <c r="D34" t="s">
        <v>33</v>
      </c>
      <c r="H34">
        <v>11263</v>
      </c>
      <c r="I34" t="s">
        <v>131</v>
      </c>
      <c r="J34">
        <f t="shared" si="0"/>
        <v>11263</v>
      </c>
      <c r="L34">
        <f t="shared" si="1"/>
        <v>5.0281250000000002</v>
      </c>
    </row>
    <row r="35" spans="1:12" x14ac:dyDescent="0.25">
      <c r="A35">
        <v>1732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1732</v>
      </c>
      <c r="B36" t="s">
        <v>19</v>
      </c>
      <c r="C36" t="s">
        <v>76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1732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1732</v>
      </c>
      <c r="B38" t="s">
        <v>56</v>
      </c>
      <c r="C38" t="s">
        <v>76</v>
      </c>
      <c r="D38" t="s">
        <v>33</v>
      </c>
      <c r="H38">
        <v>185</v>
      </c>
      <c r="J38">
        <f t="shared" si="0"/>
        <v>185</v>
      </c>
      <c r="L38">
        <f t="shared" si="1"/>
        <v>8.2589285714285712E-2</v>
      </c>
    </row>
    <row r="39" spans="1:12" x14ac:dyDescent="0.25">
      <c r="A39">
        <v>1732</v>
      </c>
      <c r="B39" t="s">
        <v>102</v>
      </c>
      <c r="C39" t="s">
        <v>76</v>
      </c>
      <c r="D39" t="s">
        <v>33</v>
      </c>
      <c r="H39">
        <v>26</v>
      </c>
      <c r="J39">
        <f t="shared" si="0"/>
        <v>26</v>
      </c>
      <c r="L39">
        <f t="shared" si="1"/>
        <v>1.1607142857142858E-2</v>
      </c>
    </row>
    <row r="40" spans="1:12" x14ac:dyDescent="0.25">
      <c r="A40">
        <v>1732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1732</v>
      </c>
      <c r="B41" t="s">
        <v>21</v>
      </c>
      <c r="C41" t="s">
        <v>76</v>
      </c>
      <c r="D41" t="s">
        <v>33</v>
      </c>
      <c r="H41">
        <v>10</v>
      </c>
      <c r="J41">
        <f t="shared" si="0"/>
        <v>10</v>
      </c>
      <c r="L41">
        <f t="shared" si="1"/>
        <v>4.464285714285714E-3</v>
      </c>
    </row>
    <row r="42" spans="1:12" x14ac:dyDescent="0.25">
      <c r="A42">
        <v>1732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1732</v>
      </c>
      <c r="B43" t="s">
        <v>63</v>
      </c>
      <c r="C43" t="s">
        <v>76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1732</v>
      </c>
      <c r="B44" t="s">
        <v>133</v>
      </c>
      <c r="C44" t="s">
        <v>76</v>
      </c>
      <c r="D44" t="s">
        <v>33</v>
      </c>
      <c r="E44">
        <v>2</v>
      </c>
      <c r="J44">
        <f t="shared" si="0"/>
        <v>4480</v>
      </c>
      <c r="L44">
        <f t="shared" si="1"/>
        <v>2</v>
      </c>
    </row>
    <row r="45" spans="1:12" x14ac:dyDescent="0.25">
      <c r="A45">
        <v>1732</v>
      </c>
      <c r="B45" t="s">
        <v>64</v>
      </c>
      <c r="C45" t="s">
        <v>76</v>
      </c>
      <c r="D45" t="s">
        <v>33</v>
      </c>
      <c r="E45">
        <v>6</v>
      </c>
      <c r="F45">
        <v>5</v>
      </c>
      <c r="G45">
        <v>3</v>
      </c>
      <c r="J45">
        <f t="shared" si="0"/>
        <v>14084</v>
      </c>
      <c r="L45">
        <f t="shared" si="1"/>
        <v>6.2874999999999996</v>
      </c>
    </row>
    <row r="46" spans="1:12" x14ac:dyDescent="0.25">
      <c r="A46">
        <v>1732</v>
      </c>
      <c r="B46" t="s">
        <v>65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1732</v>
      </c>
      <c r="B47" t="s">
        <v>73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1732</v>
      </c>
      <c r="B48" t="s">
        <v>66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1732</v>
      </c>
      <c r="B49" t="s">
        <v>67</v>
      </c>
      <c r="C49" t="s">
        <v>76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1732</v>
      </c>
      <c r="B50" t="s">
        <v>5</v>
      </c>
      <c r="C50" t="s">
        <v>76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1732</v>
      </c>
      <c r="B51" t="s">
        <v>6</v>
      </c>
      <c r="C51" t="s">
        <v>76</v>
      </c>
      <c r="D51" t="s">
        <v>35</v>
      </c>
      <c r="F51">
        <v>10472</v>
      </c>
      <c r="G51">
        <v>3</v>
      </c>
      <c r="H51">
        <v>10</v>
      </c>
      <c r="J51">
        <f t="shared" si="0"/>
        <v>1172958</v>
      </c>
      <c r="L51">
        <f t="shared" si="1"/>
        <v>523.64196428571427</v>
      </c>
    </row>
    <row r="52" spans="1:12" x14ac:dyDescent="0.25">
      <c r="A52">
        <v>1732</v>
      </c>
      <c r="B52" t="s">
        <v>7</v>
      </c>
      <c r="C52" t="s">
        <v>76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1732</v>
      </c>
      <c r="B53" t="s">
        <v>8</v>
      </c>
      <c r="C53" t="s">
        <v>76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1732</v>
      </c>
      <c r="B54" t="s">
        <v>9</v>
      </c>
      <c r="C54" t="s">
        <v>76</v>
      </c>
      <c r="D54" t="s">
        <v>35</v>
      </c>
      <c r="H54">
        <f>143*200+56</f>
        <v>28656</v>
      </c>
      <c r="I54" t="s">
        <v>156</v>
      </c>
      <c r="J54">
        <f t="shared" si="0"/>
        <v>28656</v>
      </c>
      <c r="L54">
        <f t="shared" si="1"/>
        <v>12.792857142857143</v>
      </c>
    </row>
    <row r="55" spans="1:12" x14ac:dyDescent="0.25">
      <c r="A55">
        <v>1732</v>
      </c>
      <c r="B55" t="s">
        <v>10</v>
      </c>
      <c r="C55" t="s">
        <v>76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1732</v>
      </c>
      <c r="B56" t="s">
        <v>11</v>
      </c>
      <c r="C56" t="s">
        <v>76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1732</v>
      </c>
      <c r="B57" t="s">
        <v>12</v>
      </c>
      <c r="C57" t="s">
        <v>76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1732</v>
      </c>
      <c r="B58" t="s">
        <v>13</v>
      </c>
      <c r="C58" t="s">
        <v>76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1732</v>
      </c>
      <c r="B59" t="s">
        <v>14</v>
      </c>
      <c r="C59" t="s">
        <v>76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1732</v>
      </c>
      <c r="B60" t="s">
        <v>27</v>
      </c>
      <c r="C60" t="s">
        <v>76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1732</v>
      </c>
      <c r="B61" t="s">
        <v>15</v>
      </c>
      <c r="C61" t="s">
        <v>76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1732</v>
      </c>
      <c r="B62" t="s">
        <v>17</v>
      </c>
      <c r="C62" t="s">
        <v>76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1732</v>
      </c>
      <c r="B63" t="s">
        <v>18</v>
      </c>
      <c r="C63" t="s">
        <v>76</v>
      </c>
      <c r="D63" t="s">
        <v>35</v>
      </c>
      <c r="H63">
        <v>4845</v>
      </c>
      <c r="I63" t="s">
        <v>155</v>
      </c>
      <c r="J63">
        <f t="shared" si="0"/>
        <v>4845</v>
      </c>
      <c r="L63">
        <f t="shared" si="1"/>
        <v>2.1629464285714284</v>
      </c>
    </row>
    <row r="64" spans="1:12" x14ac:dyDescent="0.25">
      <c r="A64">
        <v>1732</v>
      </c>
      <c r="B64" t="s">
        <v>19</v>
      </c>
      <c r="C64" t="s">
        <v>76</v>
      </c>
      <c r="D64" t="s">
        <v>35</v>
      </c>
      <c r="F64">
        <v>7</v>
      </c>
      <c r="G64">
        <v>3</v>
      </c>
      <c r="H64">
        <v>2</v>
      </c>
      <c r="J64">
        <f t="shared" si="0"/>
        <v>870</v>
      </c>
      <c r="L64">
        <f t="shared" si="1"/>
        <v>0.38839285714285715</v>
      </c>
    </row>
    <row r="65" spans="1:12" x14ac:dyDescent="0.25">
      <c r="A65">
        <v>1732</v>
      </c>
      <c r="B65" t="s">
        <v>56</v>
      </c>
      <c r="C65" t="s">
        <v>76</v>
      </c>
      <c r="D65" t="s">
        <v>35</v>
      </c>
      <c r="H65">
        <v>6</v>
      </c>
      <c r="J65">
        <f t="shared" si="0"/>
        <v>6</v>
      </c>
      <c r="L65">
        <f t="shared" si="1"/>
        <v>2.6785714285714286E-3</v>
      </c>
    </row>
    <row r="66" spans="1:12" x14ac:dyDescent="0.25">
      <c r="A66">
        <v>1732</v>
      </c>
      <c r="B66" t="s">
        <v>102</v>
      </c>
      <c r="C66" t="s">
        <v>76</v>
      </c>
      <c r="D66" t="s">
        <v>35</v>
      </c>
      <c r="H66">
        <v>10</v>
      </c>
      <c r="J66">
        <f t="shared" si="0"/>
        <v>10</v>
      </c>
      <c r="L66">
        <f t="shared" si="1"/>
        <v>4.464285714285714E-3</v>
      </c>
    </row>
    <row r="67" spans="1:12" x14ac:dyDescent="0.25">
      <c r="A67">
        <v>1732</v>
      </c>
      <c r="B67" t="s">
        <v>21</v>
      </c>
      <c r="C67" t="s">
        <v>76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1732</v>
      </c>
      <c r="B68" t="s">
        <v>22</v>
      </c>
      <c r="C68" t="s">
        <v>76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1732</v>
      </c>
      <c r="B69" t="s">
        <v>64</v>
      </c>
      <c r="C69" t="s">
        <v>76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1"/>
  <sheetViews>
    <sheetView topLeftCell="A22" workbookViewId="0">
      <selection activeCell="H56" sqref="H5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1732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1732</v>
      </c>
      <c r="B3" t="s">
        <v>59</v>
      </c>
      <c r="C3" t="s">
        <v>77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1732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1732</v>
      </c>
      <c r="B5" t="s">
        <v>4</v>
      </c>
      <c r="C5" t="s">
        <v>77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1732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1732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1732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1732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1732</v>
      </c>
      <c r="B10" t="s">
        <v>61</v>
      </c>
      <c r="C10" t="s">
        <v>77</v>
      </c>
      <c r="D10" t="s">
        <v>33</v>
      </c>
      <c r="F10">
        <v>536</v>
      </c>
      <c r="J10">
        <f t="shared" si="0"/>
        <v>60032</v>
      </c>
      <c r="L10">
        <f t="shared" si="1"/>
        <v>26.8</v>
      </c>
    </row>
    <row r="11" spans="1:12" x14ac:dyDescent="0.25">
      <c r="A11">
        <v>1732</v>
      </c>
      <c r="B11" t="s">
        <v>6</v>
      </c>
      <c r="C11" t="s">
        <v>77</v>
      </c>
      <c r="D11" t="s">
        <v>33</v>
      </c>
      <c r="F11">
        <v>177282</v>
      </c>
      <c r="G11">
        <v>1</v>
      </c>
      <c r="H11">
        <v>17</v>
      </c>
      <c r="J11">
        <f t="shared" si="0"/>
        <v>19855629</v>
      </c>
      <c r="L11">
        <f t="shared" si="1"/>
        <v>8864.1200892857141</v>
      </c>
    </row>
    <row r="12" spans="1:12" x14ac:dyDescent="0.25">
      <c r="A12">
        <v>1732</v>
      </c>
      <c r="B12" t="s">
        <v>62</v>
      </c>
      <c r="C12" t="s">
        <v>77</v>
      </c>
      <c r="D12" t="s">
        <v>33</v>
      </c>
      <c r="H12">
        <v>8500</v>
      </c>
      <c r="J12">
        <f t="shared" si="0"/>
        <v>8500</v>
      </c>
      <c r="L12">
        <f t="shared" si="1"/>
        <v>3.7946428571428572</v>
      </c>
    </row>
    <row r="13" spans="1:12" x14ac:dyDescent="0.25">
      <c r="A13">
        <v>1732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1732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1732</v>
      </c>
      <c r="B15" t="s">
        <v>8</v>
      </c>
      <c r="C15" t="s">
        <v>77</v>
      </c>
      <c r="D15" t="s">
        <v>33</v>
      </c>
      <c r="F15">
        <v>2673</v>
      </c>
      <c r="G15">
        <v>2</v>
      </c>
      <c r="H15">
        <v>17</v>
      </c>
      <c r="J15">
        <f t="shared" si="0"/>
        <v>299449</v>
      </c>
      <c r="L15">
        <f t="shared" si="1"/>
        <v>133.68258928571427</v>
      </c>
    </row>
    <row r="16" spans="1:12" x14ac:dyDescent="0.25">
      <c r="A16">
        <v>1732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1732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1732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1732</v>
      </c>
      <c r="B19" t="s">
        <v>9</v>
      </c>
      <c r="C19" t="s">
        <v>77</v>
      </c>
      <c r="D19" t="s">
        <v>33</v>
      </c>
      <c r="H19">
        <f>884*200</f>
        <v>176800</v>
      </c>
      <c r="I19" t="s">
        <v>138</v>
      </c>
      <c r="J19">
        <f t="shared" si="0"/>
        <v>176800</v>
      </c>
      <c r="L19">
        <f t="shared" si="1"/>
        <v>78.928571428571431</v>
      </c>
    </row>
    <row r="20" spans="1:12" x14ac:dyDescent="0.25">
      <c r="A20">
        <v>1732</v>
      </c>
      <c r="B20" t="s">
        <v>10</v>
      </c>
      <c r="C20" t="s">
        <v>77</v>
      </c>
      <c r="D20" t="s">
        <v>33</v>
      </c>
      <c r="F20">
        <v>4</v>
      </c>
      <c r="G20">
        <v>1</v>
      </c>
      <c r="H20">
        <v>14</v>
      </c>
      <c r="J20">
        <f t="shared" si="0"/>
        <v>490</v>
      </c>
      <c r="L20">
        <f t="shared" si="1"/>
        <v>0.21875</v>
      </c>
    </row>
    <row r="21" spans="1:12" x14ac:dyDescent="0.25">
      <c r="A21">
        <v>1732</v>
      </c>
      <c r="B21" t="s">
        <v>11</v>
      </c>
      <c r="C21" t="s">
        <v>77</v>
      </c>
      <c r="D21" t="s">
        <v>33</v>
      </c>
      <c r="F21">
        <v>22</v>
      </c>
      <c r="G21">
        <v>3</v>
      </c>
      <c r="H21">
        <v>22</v>
      </c>
      <c r="J21">
        <f t="shared" si="0"/>
        <v>2570</v>
      </c>
      <c r="L21">
        <f t="shared" si="1"/>
        <v>1.1473214285714286</v>
      </c>
    </row>
    <row r="22" spans="1:12" x14ac:dyDescent="0.25">
      <c r="A22">
        <v>1732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1732</v>
      </c>
      <c r="B23" t="s">
        <v>82</v>
      </c>
      <c r="C23" t="s">
        <v>77</v>
      </c>
      <c r="D23" t="s">
        <v>33</v>
      </c>
      <c r="H23">
        <v>265</v>
      </c>
      <c r="J23">
        <f t="shared" si="0"/>
        <v>265</v>
      </c>
      <c r="L23">
        <f t="shared" si="1"/>
        <v>0.11830357142857142</v>
      </c>
    </row>
    <row r="24" spans="1:12" x14ac:dyDescent="0.25">
      <c r="A24">
        <v>1732</v>
      </c>
      <c r="B24" t="s">
        <v>46</v>
      </c>
      <c r="C24" t="s">
        <v>77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1732</v>
      </c>
      <c r="B25" t="s">
        <v>12</v>
      </c>
      <c r="C25" t="s">
        <v>77</v>
      </c>
      <c r="D25" t="s">
        <v>33</v>
      </c>
      <c r="H25">
        <v>300</v>
      </c>
      <c r="J25">
        <f t="shared" si="0"/>
        <v>300</v>
      </c>
      <c r="L25">
        <f t="shared" si="1"/>
        <v>0.13392857142857142</v>
      </c>
    </row>
    <row r="26" spans="1:12" x14ac:dyDescent="0.25">
      <c r="A26">
        <v>1732</v>
      </c>
      <c r="B26" t="s">
        <v>34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1732</v>
      </c>
      <c r="B27" t="s">
        <v>13</v>
      </c>
      <c r="C27" t="s">
        <v>77</v>
      </c>
      <c r="D27" t="s">
        <v>33</v>
      </c>
      <c r="E27">
        <v>9</v>
      </c>
      <c r="F27">
        <v>2</v>
      </c>
      <c r="J27">
        <f t="shared" si="0"/>
        <v>20384</v>
      </c>
      <c r="L27">
        <f t="shared" si="1"/>
        <v>9.1</v>
      </c>
    </row>
    <row r="28" spans="1:12" x14ac:dyDescent="0.25">
      <c r="A28">
        <v>1732</v>
      </c>
      <c r="B28" t="s">
        <v>14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1732</v>
      </c>
      <c r="B29" t="s">
        <v>23</v>
      </c>
      <c r="C29" t="s">
        <v>77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1732</v>
      </c>
      <c r="B30" t="s">
        <v>27</v>
      </c>
      <c r="C30" t="s">
        <v>77</v>
      </c>
      <c r="D30" t="s">
        <v>33</v>
      </c>
      <c r="H30">
        <v>10142.5</v>
      </c>
      <c r="I30" t="s">
        <v>137</v>
      </c>
      <c r="J30">
        <f t="shared" si="0"/>
        <v>10142.5</v>
      </c>
      <c r="L30">
        <f t="shared" si="1"/>
        <v>4.5279017857142856</v>
      </c>
    </row>
    <row r="31" spans="1:12" x14ac:dyDescent="0.25">
      <c r="A31">
        <v>1732</v>
      </c>
      <c r="B31" t="s">
        <v>15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1732</v>
      </c>
      <c r="B32" t="s">
        <v>44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1732</v>
      </c>
      <c r="B33" t="s">
        <v>49</v>
      </c>
      <c r="C33" t="s">
        <v>77</v>
      </c>
      <c r="D33" t="s">
        <v>33</v>
      </c>
      <c r="H33">
        <v>170</v>
      </c>
      <c r="I33" t="s">
        <v>135</v>
      </c>
      <c r="J33">
        <f t="shared" si="0"/>
        <v>170</v>
      </c>
      <c r="L33">
        <f t="shared" si="1"/>
        <v>7.5892857142857137E-2</v>
      </c>
    </row>
    <row r="34" spans="1:12" x14ac:dyDescent="0.25">
      <c r="A34">
        <v>1732</v>
      </c>
      <c r="B34" t="s">
        <v>16</v>
      </c>
      <c r="C34" t="s">
        <v>77</v>
      </c>
      <c r="D34" t="s">
        <v>33</v>
      </c>
      <c r="H34">
        <v>284</v>
      </c>
      <c r="J34">
        <f t="shared" si="0"/>
        <v>284</v>
      </c>
      <c r="L34">
        <f t="shared" si="1"/>
        <v>0.12678571428571428</v>
      </c>
    </row>
    <row r="35" spans="1:12" x14ac:dyDescent="0.25">
      <c r="A35">
        <v>1732</v>
      </c>
      <c r="B35" t="s">
        <v>100</v>
      </c>
      <c r="C35" t="s">
        <v>77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1732</v>
      </c>
      <c r="B36" t="s">
        <v>17</v>
      </c>
      <c r="C36" t="s">
        <v>77</v>
      </c>
      <c r="D36" t="s">
        <v>33</v>
      </c>
      <c r="F36">
        <v>33</v>
      </c>
      <c r="G36">
        <v>1</v>
      </c>
      <c r="H36">
        <v>21</v>
      </c>
      <c r="J36">
        <f t="shared" si="0"/>
        <v>3745</v>
      </c>
      <c r="L36">
        <f t="shared" si="1"/>
        <v>1.671875</v>
      </c>
    </row>
    <row r="37" spans="1:12" x14ac:dyDescent="0.25">
      <c r="A37">
        <v>1732</v>
      </c>
      <c r="B37" t="s">
        <v>18</v>
      </c>
      <c r="C37" t="s">
        <v>77</v>
      </c>
      <c r="D37" t="s">
        <v>33</v>
      </c>
      <c r="H37">
        <v>57465</v>
      </c>
      <c r="I37" t="s">
        <v>136</v>
      </c>
      <c r="J37">
        <f t="shared" si="0"/>
        <v>57465</v>
      </c>
      <c r="L37">
        <f t="shared" si="1"/>
        <v>25.654017857142858</v>
      </c>
    </row>
    <row r="38" spans="1:12" x14ac:dyDescent="0.25">
      <c r="A38">
        <v>1732</v>
      </c>
      <c r="B38" t="s">
        <v>72</v>
      </c>
      <c r="C38" t="s">
        <v>77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1732</v>
      </c>
      <c r="B39" t="s">
        <v>19</v>
      </c>
      <c r="C39" t="s">
        <v>77</v>
      </c>
      <c r="D39" t="s">
        <v>33</v>
      </c>
      <c r="G39">
        <v>2</v>
      </c>
      <c r="J39">
        <f t="shared" si="0"/>
        <v>56</v>
      </c>
      <c r="L39">
        <f t="shared" si="1"/>
        <v>2.5000000000000001E-2</v>
      </c>
    </row>
    <row r="40" spans="1:12" x14ac:dyDescent="0.25">
      <c r="A40">
        <v>1732</v>
      </c>
      <c r="B40" t="s">
        <v>47</v>
      </c>
      <c r="C40" t="s">
        <v>77</v>
      </c>
      <c r="D40" t="s">
        <v>33</v>
      </c>
      <c r="H40">
        <v>48</v>
      </c>
      <c r="J40">
        <f t="shared" si="0"/>
        <v>48</v>
      </c>
      <c r="L40">
        <f t="shared" si="1"/>
        <v>2.1428571428571429E-2</v>
      </c>
    </row>
    <row r="41" spans="1:12" x14ac:dyDescent="0.25">
      <c r="A41">
        <v>1732</v>
      </c>
      <c r="B41" t="s">
        <v>56</v>
      </c>
      <c r="C41" t="s">
        <v>77</v>
      </c>
      <c r="D41" t="s">
        <v>33</v>
      </c>
      <c r="H41">
        <v>595</v>
      </c>
      <c r="J41">
        <f t="shared" si="0"/>
        <v>595</v>
      </c>
      <c r="L41">
        <f t="shared" si="1"/>
        <v>0.265625</v>
      </c>
    </row>
    <row r="42" spans="1:12" x14ac:dyDescent="0.25">
      <c r="A42">
        <v>1732</v>
      </c>
      <c r="B42" t="s">
        <v>102</v>
      </c>
      <c r="C42" t="s">
        <v>77</v>
      </c>
      <c r="D42" t="s">
        <v>33</v>
      </c>
      <c r="H42">
        <v>111</v>
      </c>
      <c r="J42">
        <f t="shared" si="0"/>
        <v>111</v>
      </c>
      <c r="L42">
        <f t="shared" si="1"/>
        <v>4.9553571428571426E-2</v>
      </c>
    </row>
    <row r="43" spans="1:12" x14ac:dyDescent="0.25">
      <c r="A43">
        <v>1732</v>
      </c>
      <c r="B43" t="s">
        <v>20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1732</v>
      </c>
      <c r="B44" t="s">
        <v>21</v>
      </c>
      <c r="C44" t="s">
        <v>77</v>
      </c>
      <c r="D44" t="s">
        <v>33</v>
      </c>
      <c r="H44">
        <v>22</v>
      </c>
      <c r="J44">
        <f t="shared" si="0"/>
        <v>22</v>
      </c>
      <c r="L44">
        <f t="shared" si="1"/>
        <v>9.8214285714285712E-3</v>
      </c>
    </row>
    <row r="45" spans="1:12" x14ac:dyDescent="0.25">
      <c r="A45">
        <v>1732</v>
      </c>
      <c r="B45" t="s">
        <v>22</v>
      </c>
      <c r="C45" t="s">
        <v>77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1732</v>
      </c>
      <c r="B46" t="s">
        <v>63</v>
      </c>
      <c r="C46" t="s">
        <v>77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1732</v>
      </c>
      <c r="B47" t="s">
        <v>64</v>
      </c>
      <c r="C47" t="s">
        <v>77</v>
      </c>
      <c r="D47" t="s">
        <v>33</v>
      </c>
      <c r="E47">
        <v>160</v>
      </c>
      <c r="F47">
        <v>9</v>
      </c>
      <c r="G47">
        <v>3</v>
      </c>
      <c r="H47">
        <v>17</v>
      </c>
      <c r="J47">
        <f t="shared" si="0"/>
        <v>359509</v>
      </c>
      <c r="L47">
        <f t="shared" si="1"/>
        <v>160.49508928571427</v>
      </c>
    </row>
    <row r="48" spans="1:12" x14ac:dyDescent="0.25">
      <c r="A48">
        <v>1732</v>
      </c>
      <c r="B48" t="s">
        <v>65</v>
      </c>
      <c r="C48" t="s">
        <v>77</v>
      </c>
      <c r="D48" t="s">
        <v>33</v>
      </c>
      <c r="E48">
        <v>2</v>
      </c>
      <c r="F48">
        <v>3</v>
      </c>
      <c r="J48">
        <f t="shared" si="0"/>
        <v>4816</v>
      </c>
      <c r="L48">
        <f t="shared" si="1"/>
        <v>2.15</v>
      </c>
    </row>
    <row r="49" spans="1:12" x14ac:dyDescent="0.25">
      <c r="A49">
        <v>1732</v>
      </c>
      <c r="B49" t="s">
        <v>73</v>
      </c>
      <c r="C49" t="s">
        <v>77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1732</v>
      </c>
      <c r="B50" t="s">
        <v>66</v>
      </c>
      <c r="C50" t="s">
        <v>77</v>
      </c>
      <c r="D50" t="s">
        <v>33</v>
      </c>
      <c r="E50">
        <v>6</v>
      </c>
      <c r="J50">
        <f t="shared" si="0"/>
        <v>13440</v>
      </c>
      <c r="L50">
        <f t="shared" si="1"/>
        <v>6</v>
      </c>
    </row>
    <row r="51" spans="1:12" x14ac:dyDescent="0.25">
      <c r="A51">
        <v>1732</v>
      </c>
      <c r="B51" t="s">
        <v>67</v>
      </c>
      <c r="C51" t="s">
        <v>77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1732</v>
      </c>
      <c r="B52" t="s">
        <v>6</v>
      </c>
      <c r="C52" t="s">
        <v>77</v>
      </c>
      <c r="D52" t="s">
        <v>35</v>
      </c>
      <c r="F52">
        <v>14436</v>
      </c>
      <c r="G52">
        <v>2</v>
      </c>
      <c r="H52">
        <v>17</v>
      </c>
      <c r="J52">
        <f t="shared" si="0"/>
        <v>1616905</v>
      </c>
      <c r="L52">
        <f t="shared" si="1"/>
        <v>721.83258928571433</v>
      </c>
    </row>
    <row r="53" spans="1:12" x14ac:dyDescent="0.25">
      <c r="A53">
        <v>1732</v>
      </c>
      <c r="B53" t="s">
        <v>7</v>
      </c>
      <c r="C53" t="s">
        <v>77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1732</v>
      </c>
      <c r="B54" t="s">
        <v>8</v>
      </c>
      <c r="C54" t="s">
        <v>77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1732</v>
      </c>
      <c r="B55" t="s">
        <v>9</v>
      </c>
      <c r="C55" t="s">
        <v>77</v>
      </c>
      <c r="D55" t="s">
        <v>35</v>
      </c>
      <c r="H55">
        <f>430*200+82</f>
        <v>86082</v>
      </c>
      <c r="I55" t="s">
        <v>157</v>
      </c>
      <c r="J55">
        <f t="shared" si="0"/>
        <v>86082</v>
      </c>
      <c r="L55">
        <f t="shared" si="1"/>
        <v>38.429464285714289</v>
      </c>
    </row>
    <row r="56" spans="1:12" x14ac:dyDescent="0.25">
      <c r="A56">
        <v>1732</v>
      </c>
      <c r="B56" t="s">
        <v>10</v>
      </c>
      <c r="C56" t="s">
        <v>77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1732</v>
      </c>
      <c r="B57" t="s">
        <v>11</v>
      </c>
      <c r="C57" t="s">
        <v>77</v>
      </c>
      <c r="D57" t="s">
        <v>35</v>
      </c>
      <c r="F57">
        <v>8</v>
      </c>
      <c r="H57">
        <v>2</v>
      </c>
      <c r="J57">
        <f t="shared" si="0"/>
        <v>898</v>
      </c>
      <c r="L57">
        <f t="shared" si="1"/>
        <v>0.40089285714285716</v>
      </c>
    </row>
    <row r="58" spans="1:12" x14ac:dyDescent="0.25">
      <c r="A58">
        <v>1732</v>
      </c>
      <c r="B58" t="s">
        <v>12</v>
      </c>
      <c r="C58" t="s">
        <v>77</v>
      </c>
      <c r="D58" t="s">
        <v>35</v>
      </c>
      <c r="H58">
        <v>193</v>
      </c>
      <c r="J58">
        <f t="shared" si="0"/>
        <v>193</v>
      </c>
      <c r="L58">
        <f t="shared" si="1"/>
        <v>8.6160714285714285E-2</v>
      </c>
    </row>
    <row r="59" spans="1:12" x14ac:dyDescent="0.25">
      <c r="A59">
        <v>1732</v>
      </c>
      <c r="B59" t="s">
        <v>13</v>
      </c>
      <c r="C59" t="s">
        <v>77</v>
      </c>
      <c r="D59" t="s">
        <v>35</v>
      </c>
      <c r="F59">
        <v>62</v>
      </c>
      <c r="H59">
        <v>2</v>
      </c>
      <c r="J59">
        <f t="shared" si="0"/>
        <v>6946</v>
      </c>
      <c r="L59">
        <f t="shared" si="1"/>
        <v>3.1008928571428571</v>
      </c>
    </row>
    <row r="60" spans="1:12" x14ac:dyDescent="0.25">
      <c r="A60">
        <v>1732</v>
      </c>
      <c r="B60" t="s">
        <v>14</v>
      </c>
      <c r="C60" t="s">
        <v>77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1732</v>
      </c>
      <c r="B61" t="s">
        <v>27</v>
      </c>
      <c r="C61" t="s">
        <v>77</v>
      </c>
      <c r="D61" t="s">
        <v>35</v>
      </c>
      <c r="H61">
        <v>1380</v>
      </c>
      <c r="I61" t="s">
        <v>158</v>
      </c>
      <c r="J61">
        <f t="shared" si="0"/>
        <v>1380</v>
      </c>
      <c r="L61">
        <f t="shared" si="1"/>
        <v>0.6160714285714286</v>
      </c>
    </row>
    <row r="62" spans="1:12" x14ac:dyDescent="0.25">
      <c r="A62">
        <v>1732</v>
      </c>
      <c r="B62" t="s">
        <v>15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1732</v>
      </c>
      <c r="B63" t="s">
        <v>17</v>
      </c>
      <c r="C63" t="s">
        <v>77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1732</v>
      </c>
      <c r="B64" t="s">
        <v>18</v>
      </c>
      <c r="C64" t="s">
        <v>77</v>
      </c>
      <c r="D64" t="s">
        <v>35</v>
      </c>
      <c r="H64">
        <v>4977.5</v>
      </c>
      <c r="I64">
        <v>497.75</v>
      </c>
      <c r="J64">
        <f t="shared" si="0"/>
        <v>4977.5</v>
      </c>
      <c r="L64">
        <f t="shared" si="1"/>
        <v>2.2220982142857144</v>
      </c>
    </row>
    <row r="65" spans="1:12" x14ac:dyDescent="0.25">
      <c r="A65">
        <v>1732</v>
      </c>
      <c r="B65" t="s">
        <v>19</v>
      </c>
      <c r="C65" t="s">
        <v>77</v>
      </c>
      <c r="D65" t="s">
        <v>35</v>
      </c>
      <c r="F65">
        <v>6</v>
      </c>
      <c r="J65">
        <f t="shared" si="0"/>
        <v>672</v>
      </c>
      <c r="L65">
        <f t="shared" si="1"/>
        <v>0.3</v>
      </c>
    </row>
    <row r="66" spans="1:12" x14ac:dyDescent="0.25">
      <c r="A66">
        <v>1732</v>
      </c>
      <c r="B66" t="s">
        <v>56</v>
      </c>
      <c r="C66" t="s">
        <v>77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1732</v>
      </c>
      <c r="B67" t="s">
        <v>20</v>
      </c>
      <c r="C67" t="s">
        <v>77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1732</v>
      </c>
      <c r="B68" t="s">
        <v>21</v>
      </c>
      <c r="C68" t="s">
        <v>77</v>
      </c>
      <c r="D68" t="s">
        <v>35</v>
      </c>
      <c r="J68">
        <f t="shared" ref="J68:J71" si="2">(E68*2240)+(F68*112)+(G68*28)+H68</f>
        <v>0</v>
      </c>
      <c r="L68">
        <f t="shared" ref="L68:L71" si="3">J68/2240</f>
        <v>0</v>
      </c>
    </row>
    <row r="69" spans="1:12" x14ac:dyDescent="0.25">
      <c r="A69">
        <v>1732</v>
      </c>
      <c r="B69" t="s">
        <v>22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1732</v>
      </c>
      <c r="B70" t="s">
        <v>64</v>
      </c>
      <c r="C70" t="s">
        <v>77</v>
      </c>
      <c r="D70" t="s">
        <v>35</v>
      </c>
      <c r="E70">
        <v>23</v>
      </c>
      <c r="F70">
        <v>15</v>
      </c>
      <c r="J70">
        <f t="shared" si="2"/>
        <v>53200</v>
      </c>
      <c r="L70">
        <f t="shared" si="3"/>
        <v>23.75</v>
      </c>
    </row>
    <row r="71" spans="1:12" x14ac:dyDescent="0.25">
      <c r="A71">
        <v>1732</v>
      </c>
      <c r="B71" t="s">
        <v>66</v>
      </c>
      <c r="C71" t="s">
        <v>77</v>
      </c>
      <c r="D71" t="s">
        <v>35</v>
      </c>
      <c r="J71">
        <f t="shared" si="2"/>
        <v>0</v>
      </c>
      <c r="L71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A2" sqref="A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9AF86A12-89C3-4C1F-91A3-88497BA0C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7B54A9-1BE5-4443-A2C0-0FAB6C0EAE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8F8B97-A705-4FB8-BAE0-73F88A32C623}">
  <ds:schemaRefs>
    <ds:schemaRef ds:uri="http://purl.org/dc/elements/1.1/"/>
    <ds:schemaRef ds:uri="http://schemas.microsoft.com/office/2006/metadata/properties"/>
    <ds:schemaRef ds:uri="http://purl.org/dc/terms/"/>
    <ds:schemaRef ds:uri="cefc4363-6422-4cdd-96f6-49f865293ffe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