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670" documentId="8_{03B0476B-C78D-49EB-AEB8-EC1F75F7CF41}" xr6:coauthVersionLast="47" xr6:coauthVersionMax="47" xr10:uidLastSave="{7FCCA05B-51A9-489F-8728-C8D7CC64B9BD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</sheets>
  <definedNames>
    <definedName name="_xlnm._FilterDatabase" localSheetId="3" hidden="1">Barbados!$A$1:$N$56</definedName>
    <definedName name="_xlnm._FilterDatabase" localSheetId="5" hidden="1">Jamaica!$A$1:$O$59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0" l="1"/>
  <c r="H19" i="10"/>
  <c r="H57" i="8"/>
  <c r="H19" i="8"/>
  <c r="H54" i="7"/>
  <c r="H18" i="7"/>
  <c r="H54" i="6"/>
  <c r="H19" i="6"/>
  <c r="H83" i="5"/>
  <c r="H22" i="5"/>
  <c r="H18" i="3"/>
  <c r="H40" i="2"/>
  <c r="H9" i="2"/>
  <c r="L71" i="10"/>
  <c r="J71" i="10"/>
  <c r="J46" i="10"/>
  <c r="L46" i="10" s="1"/>
  <c r="J59" i="10"/>
  <c r="L59" i="10" s="1"/>
  <c r="L75" i="8"/>
  <c r="J75" i="8"/>
  <c r="J74" i="8"/>
  <c r="L74" i="8" s="1"/>
  <c r="J53" i="8"/>
  <c r="L53" i="8" s="1"/>
  <c r="J65" i="8"/>
  <c r="L65" i="8" s="1"/>
  <c r="J70" i="8"/>
  <c r="L70" i="8" s="1"/>
  <c r="J47" i="8"/>
  <c r="L47" i="8" s="1"/>
  <c r="L71" i="7"/>
  <c r="J71" i="7"/>
  <c r="L57" i="7"/>
  <c r="J57" i="7"/>
  <c r="L57" i="6"/>
  <c r="J57" i="6"/>
  <c r="J67" i="6"/>
  <c r="L67" i="6" s="1"/>
  <c r="L97" i="3"/>
  <c r="J97" i="3"/>
  <c r="J91" i="3"/>
  <c r="L91" i="3" s="1"/>
  <c r="L63" i="2"/>
  <c r="J63" i="2"/>
  <c r="J45" i="2"/>
  <c r="L45" i="2" s="1"/>
  <c r="J32" i="2"/>
  <c r="L32" i="2" s="1"/>
  <c r="J31" i="2"/>
  <c r="L31" i="2" s="1"/>
  <c r="J19" i="10"/>
  <c r="L19" i="10" s="1"/>
  <c r="J19" i="8"/>
  <c r="L19" i="8" s="1"/>
  <c r="J23" i="8"/>
  <c r="L23" i="8" s="1"/>
  <c r="J44" i="7"/>
  <c r="L44" i="7" s="1"/>
  <c r="J45" i="6"/>
  <c r="L45" i="6" s="1"/>
  <c r="L12" i="4"/>
  <c r="J12" i="4"/>
  <c r="J18" i="3"/>
  <c r="L18" i="3" s="1"/>
  <c r="J49" i="3"/>
  <c r="L49" i="3" s="1"/>
  <c r="J45" i="3"/>
  <c r="L45" i="3" s="1"/>
  <c r="J46" i="3"/>
  <c r="L46" i="3" s="1"/>
  <c r="J24" i="3"/>
  <c r="L24" i="3" s="1"/>
  <c r="J9" i="2"/>
  <c r="L9" i="2" s="1"/>
  <c r="J14" i="2"/>
  <c r="L14" i="2" s="1"/>
  <c r="J13" i="2"/>
  <c r="L13" i="2" s="1"/>
  <c r="J3" i="2"/>
  <c r="L3" i="2" s="1"/>
  <c r="J4" i="2"/>
  <c r="L4" i="2" s="1"/>
  <c r="J5" i="2"/>
  <c r="L5" i="2" s="1"/>
  <c r="J6" i="2"/>
  <c r="L6" i="2" s="1"/>
  <c r="J7" i="2"/>
  <c r="L7" i="2" s="1"/>
  <c r="J8" i="2"/>
  <c r="L8" i="2" s="1"/>
  <c r="J10" i="2"/>
  <c r="L10" i="2" s="1"/>
  <c r="J11" i="2"/>
  <c r="L11" i="2" s="1"/>
  <c r="J12" i="2"/>
  <c r="L12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J24" i="2"/>
  <c r="L24" i="2" s="1"/>
  <c r="J25" i="2"/>
  <c r="L25" i="2" s="1"/>
  <c r="J26" i="2"/>
  <c r="L26" i="2" s="1"/>
  <c r="J27" i="2"/>
  <c r="L27" i="2" s="1"/>
  <c r="J28" i="2"/>
  <c r="L28" i="2" s="1"/>
  <c r="J29" i="2"/>
  <c r="L29" i="2" s="1"/>
  <c r="J30" i="2"/>
  <c r="L30" i="2" s="1"/>
  <c r="J33" i="2"/>
  <c r="L33" i="2" s="1"/>
  <c r="J34" i="2"/>
  <c r="L34" i="2" s="1"/>
  <c r="J35" i="2"/>
  <c r="L35" i="2" s="1"/>
  <c r="J36" i="2"/>
  <c r="L36" i="2" s="1"/>
  <c r="J37" i="2"/>
  <c r="L37" i="2" s="1"/>
  <c r="J38" i="2"/>
  <c r="L38" i="2" s="1"/>
  <c r="J39" i="2"/>
  <c r="L39" i="2" s="1"/>
  <c r="J40" i="2"/>
  <c r="L40" i="2" s="1"/>
  <c r="J41" i="2"/>
  <c r="L41" i="2" s="1"/>
  <c r="J42" i="2"/>
  <c r="L42" i="2" s="1"/>
  <c r="J43" i="2"/>
  <c r="L43" i="2" s="1"/>
  <c r="J44" i="2"/>
  <c r="L44" i="2" s="1"/>
  <c r="J46" i="2"/>
  <c r="L46" i="2" s="1"/>
  <c r="J47" i="2"/>
  <c r="L47" i="2" s="1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L55" i="2" s="1"/>
  <c r="J56" i="2"/>
  <c r="L56" i="2" s="1"/>
  <c r="J57" i="2"/>
  <c r="L57" i="2" s="1"/>
  <c r="J58" i="2"/>
  <c r="L58" i="2" s="1"/>
  <c r="J59" i="2"/>
  <c r="L59" i="2" s="1"/>
  <c r="J60" i="2"/>
  <c r="L60" i="2" s="1"/>
  <c r="J61" i="2"/>
  <c r="L61" i="2" s="1"/>
  <c r="J62" i="2"/>
  <c r="L62" i="2" s="1"/>
  <c r="J64" i="2"/>
  <c r="L64" i="2" s="1"/>
  <c r="J65" i="2"/>
  <c r="L65" i="2" s="1"/>
  <c r="J3" i="3"/>
  <c r="L3" i="3" s="1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9" i="3"/>
  <c r="L19" i="3" s="1"/>
  <c r="J20" i="3"/>
  <c r="L20" i="3" s="1"/>
  <c r="J21" i="3"/>
  <c r="L21" i="3" s="1"/>
  <c r="J22" i="3"/>
  <c r="L22" i="3" s="1"/>
  <c r="J23" i="3"/>
  <c r="L23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7" i="3"/>
  <c r="L47" i="3" s="1"/>
  <c r="J48" i="3"/>
  <c r="L48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6" i="3"/>
  <c r="L86" i="3" s="1"/>
  <c r="J87" i="3"/>
  <c r="L87" i="3" s="1"/>
  <c r="J88" i="3"/>
  <c r="L88" i="3" s="1"/>
  <c r="J89" i="3"/>
  <c r="L89" i="3" s="1"/>
  <c r="J90" i="3"/>
  <c r="L90" i="3" s="1"/>
  <c r="J92" i="3"/>
  <c r="L92" i="3" s="1"/>
  <c r="J93" i="3"/>
  <c r="L93" i="3" s="1"/>
  <c r="J94" i="3"/>
  <c r="L94" i="3" s="1"/>
  <c r="J95" i="3"/>
  <c r="L95" i="3" s="1"/>
  <c r="J96" i="3"/>
  <c r="L96" i="3" s="1"/>
  <c r="J98" i="3"/>
  <c r="L98" i="3" s="1"/>
  <c r="J99" i="3"/>
  <c r="L99" i="3" s="1"/>
  <c r="J100" i="3"/>
  <c r="L100" i="3" s="1"/>
  <c r="J101" i="3"/>
  <c r="L101" i="3" s="1"/>
  <c r="J102" i="3"/>
  <c r="L102" i="3" s="1"/>
  <c r="J103" i="3"/>
  <c r="L103" i="3" s="1"/>
  <c r="L10" i="4"/>
  <c r="L14" i="4"/>
  <c r="L15" i="4"/>
  <c r="L16" i="4"/>
  <c r="L17" i="4"/>
  <c r="L18" i="4"/>
  <c r="J3" i="4"/>
  <c r="L3" i="4" s="1"/>
  <c r="J4" i="4"/>
  <c r="L4" i="4" s="1"/>
  <c r="J5" i="4"/>
  <c r="L5" i="4" s="1"/>
  <c r="J6" i="4"/>
  <c r="L6" i="4" s="1"/>
  <c r="J7" i="4"/>
  <c r="L7" i="4" s="1"/>
  <c r="J8" i="4"/>
  <c r="L8" i="4" s="1"/>
  <c r="J9" i="4"/>
  <c r="L9" i="4" s="1"/>
  <c r="J10" i="4"/>
  <c r="J11" i="4"/>
  <c r="L11" i="4" s="1"/>
  <c r="J13" i="4"/>
  <c r="L13" i="4" s="1"/>
  <c r="J14" i="4"/>
  <c r="J15" i="4"/>
  <c r="J16" i="4"/>
  <c r="J17" i="4"/>
  <c r="J18" i="4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L3" i="5"/>
  <c r="L5" i="5"/>
  <c r="L6" i="5"/>
  <c r="L7" i="5"/>
  <c r="L8" i="5"/>
  <c r="L9" i="5"/>
  <c r="L10" i="5"/>
  <c r="L11" i="5"/>
  <c r="L13" i="5"/>
  <c r="L14" i="5"/>
  <c r="L15" i="5"/>
  <c r="L16" i="5"/>
  <c r="L17" i="5"/>
  <c r="L18" i="5"/>
  <c r="L19" i="5"/>
  <c r="L20" i="5"/>
  <c r="L28" i="5"/>
  <c r="L29" i="5"/>
  <c r="L32" i="5"/>
  <c r="L34" i="5"/>
  <c r="L35" i="5"/>
  <c r="L38" i="5"/>
  <c r="L39" i="5"/>
  <c r="L40" i="5"/>
  <c r="L41" i="5"/>
  <c r="L42" i="5"/>
  <c r="L45" i="5"/>
  <c r="L46" i="5"/>
  <c r="L48" i="5"/>
  <c r="L51" i="5"/>
  <c r="L53" i="5"/>
  <c r="L58" i="5"/>
  <c r="L62" i="5"/>
  <c r="L63" i="5"/>
  <c r="L64" i="5"/>
  <c r="L65" i="5"/>
  <c r="L66" i="5"/>
  <c r="L67" i="5"/>
  <c r="L68" i="5"/>
  <c r="L69" i="5"/>
  <c r="L70" i="5"/>
  <c r="L71" i="5"/>
  <c r="L72" i="5"/>
  <c r="L73" i="5"/>
  <c r="L75" i="5"/>
  <c r="L76" i="5"/>
  <c r="L77" i="5"/>
  <c r="L79" i="5"/>
  <c r="L81" i="5"/>
  <c r="L82" i="5"/>
  <c r="L88" i="5"/>
  <c r="L89" i="5"/>
  <c r="L90" i="5"/>
  <c r="L92" i="5"/>
  <c r="L93" i="5"/>
  <c r="L94" i="5"/>
  <c r="L95" i="5"/>
  <c r="L96" i="5"/>
  <c r="L97" i="5"/>
  <c r="L98" i="5"/>
  <c r="L99" i="5"/>
  <c r="L100" i="5"/>
  <c r="L101" i="5"/>
  <c r="L106" i="5"/>
  <c r="L107" i="5"/>
  <c r="L110" i="5"/>
  <c r="L113" i="5"/>
  <c r="L115" i="5"/>
  <c r="L116" i="5"/>
  <c r="L117" i="5"/>
  <c r="L118" i="5"/>
  <c r="L121" i="5"/>
  <c r="L122" i="5"/>
  <c r="L123" i="5"/>
  <c r="L124" i="5"/>
  <c r="L125" i="5"/>
  <c r="L126" i="5"/>
  <c r="J3" i="5"/>
  <c r="J4" i="5"/>
  <c r="L4" i="5" s="1"/>
  <c r="J5" i="5"/>
  <c r="J6" i="5"/>
  <c r="J7" i="5"/>
  <c r="J8" i="5"/>
  <c r="J9" i="5"/>
  <c r="J10" i="5"/>
  <c r="J11" i="5"/>
  <c r="J12" i="5"/>
  <c r="L12" i="5" s="1"/>
  <c r="J13" i="5"/>
  <c r="J14" i="5"/>
  <c r="J15" i="5"/>
  <c r="J16" i="5"/>
  <c r="J17" i="5"/>
  <c r="J18" i="5"/>
  <c r="J19" i="5"/>
  <c r="J20" i="5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J29" i="5"/>
  <c r="J30" i="5"/>
  <c r="L30" i="5" s="1"/>
  <c r="J31" i="5"/>
  <c r="L31" i="5" s="1"/>
  <c r="J32" i="5"/>
  <c r="J33" i="5"/>
  <c r="L33" i="5" s="1"/>
  <c r="J34" i="5"/>
  <c r="J35" i="5"/>
  <c r="J36" i="5"/>
  <c r="L36" i="5" s="1"/>
  <c r="J37" i="5"/>
  <c r="L37" i="5" s="1"/>
  <c r="J38" i="5"/>
  <c r="J39" i="5"/>
  <c r="J40" i="5"/>
  <c r="J41" i="5"/>
  <c r="J42" i="5"/>
  <c r="J43" i="5"/>
  <c r="L43" i="5" s="1"/>
  <c r="J44" i="5"/>
  <c r="L44" i="5" s="1"/>
  <c r="J45" i="5"/>
  <c r="J46" i="5"/>
  <c r="J47" i="5"/>
  <c r="L47" i="5" s="1"/>
  <c r="J48" i="5"/>
  <c r="J49" i="5"/>
  <c r="L49" i="5" s="1"/>
  <c r="J50" i="5"/>
  <c r="L50" i="5" s="1"/>
  <c r="J51" i="5"/>
  <c r="J52" i="5"/>
  <c r="L52" i="5" s="1"/>
  <c r="J53" i="5"/>
  <c r="J54" i="5"/>
  <c r="L54" i="5" s="1"/>
  <c r="J55" i="5"/>
  <c r="L55" i="5" s="1"/>
  <c r="J56" i="5"/>
  <c r="L56" i="5" s="1"/>
  <c r="J57" i="5"/>
  <c r="L57" i="5" s="1"/>
  <c r="J58" i="5"/>
  <c r="J59" i="5"/>
  <c r="L59" i="5" s="1"/>
  <c r="J60" i="5"/>
  <c r="L60" i="5" s="1"/>
  <c r="J61" i="5"/>
  <c r="L61" i="5" s="1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L74" i="5" s="1"/>
  <c r="J75" i="5"/>
  <c r="J76" i="5"/>
  <c r="J77" i="5"/>
  <c r="J78" i="5"/>
  <c r="L78" i="5" s="1"/>
  <c r="J79" i="5"/>
  <c r="J80" i="5"/>
  <c r="L80" i="5" s="1"/>
  <c r="J81" i="5"/>
  <c r="J82" i="5"/>
  <c r="J83" i="5"/>
  <c r="L83" i="5" s="1"/>
  <c r="J84" i="5"/>
  <c r="L84" i="5" s="1"/>
  <c r="J85" i="5"/>
  <c r="L85" i="5" s="1"/>
  <c r="J86" i="5"/>
  <c r="L86" i="5" s="1"/>
  <c r="J87" i="5"/>
  <c r="L87" i="5" s="1"/>
  <c r="J88" i="5"/>
  <c r="J89" i="5"/>
  <c r="J90" i="5"/>
  <c r="J91" i="5"/>
  <c r="L91" i="5" s="1"/>
  <c r="J92" i="5"/>
  <c r="J93" i="5"/>
  <c r="J94" i="5"/>
  <c r="J95" i="5"/>
  <c r="J96" i="5"/>
  <c r="J97" i="5"/>
  <c r="J98" i="5"/>
  <c r="J99" i="5"/>
  <c r="J100" i="5"/>
  <c r="J101" i="5"/>
  <c r="J102" i="5"/>
  <c r="L102" i="5" s="1"/>
  <c r="J103" i="5"/>
  <c r="L103" i="5" s="1"/>
  <c r="J104" i="5"/>
  <c r="L104" i="5" s="1"/>
  <c r="J105" i="5"/>
  <c r="L105" i="5" s="1"/>
  <c r="J106" i="5"/>
  <c r="J107" i="5"/>
  <c r="J108" i="5"/>
  <c r="L108" i="5" s="1"/>
  <c r="J109" i="5"/>
  <c r="L109" i="5" s="1"/>
  <c r="J110" i="5"/>
  <c r="J111" i="5"/>
  <c r="L111" i="5" s="1"/>
  <c r="J112" i="5"/>
  <c r="L112" i="5" s="1"/>
  <c r="J113" i="5"/>
  <c r="J114" i="5"/>
  <c r="L114" i="5" s="1"/>
  <c r="J115" i="5"/>
  <c r="J116" i="5"/>
  <c r="J117" i="5"/>
  <c r="J118" i="5"/>
  <c r="J119" i="5"/>
  <c r="L119" i="5" s="1"/>
  <c r="J120" i="5"/>
  <c r="L120" i="5" s="1"/>
  <c r="J121" i="5"/>
  <c r="J122" i="5"/>
  <c r="J123" i="5"/>
  <c r="J124" i="5"/>
  <c r="J125" i="5"/>
  <c r="J126" i="5"/>
  <c r="L3" i="6"/>
  <c r="L7" i="6"/>
  <c r="J3" i="6"/>
  <c r="J4" i="6"/>
  <c r="L4" i="6" s="1"/>
  <c r="J5" i="6"/>
  <c r="L5" i="6" s="1"/>
  <c r="J6" i="6"/>
  <c r="L6" i="6" s="1"/>
  <c r="J7" i="6"/>
  <c r="J8" i="6"/>
  <c r="L8" i="6" s="1"/>
  <c r="J9" i="6"/>
  <c r="L9" i="6" s="1"/>
  <c r="J10" i="6"/>
  <c r="L10" i="6" s="1"/>
  <c r="J11" i="6"/>
  <c r="L11" i="6" s="1"/>
  <c r="J12" i="6"/>
  <c r="L12" i="6" s="1"/>
  <c r="J13" i="6"/>
  <c r="L13" i="6" s="1"/>
  <c r="J14" i="6"/>
  <c r="L14" i="6" s="1"/>
  <c r="J15" i="6"/>
  <c r="L15" i="6" s="1"/>
  <c r="J16" i="6"/>
  <c r="L16" i="6" s="1"/>
  <c r="J17" i="6"/>
  <c r="L17" i="6" s="1"/>
  <c r="J18" i="6"/>
  <c r="L18" i="6" s="1"/>
  <c r="J19" i="6"/>
  <c r="L19" i="6" s="1"/>
  <c r="J20" i="6"/>
  <c r="L20" i="6" s="1"/>
  <c r="J21" i="6"/>
  <c r="L21" i="6" s="1"/>
  <c r="J22" i="6"/>
  <c r="L22" i="6" s="1"/>
  <c r="J23" i="6"/>
  <c r="L23" i="6" s="1"/>
  <c r="J24" i="6"/>
  <c r="L24" i="6" s="1"/>
  <c r="J25" i="6"/>
  <c r="L25" i="6" s="1"/>
  <c r="J26" i="6"/>
  <c r="L26" i="6" s="1"/>
  <c r="J27" i="6"/>
  <c r="L27" i="6" s="1"/>
  <c r="J28" i="6"/>
  <c r="L28" i="6" s="1"/>
  <c r="J29" i="6"/>
  <c r="L29" i="6" s="1"/>
  <c r="J30" i="6"/>
  <c r="L30" i="6" s="1"/>
  <c r="J31" i="6"/>
  <c r="L31" i="6" s="1"/>
  <c r="J32" i="6"/>
  <c r="L32" i="6" s="1"/>
  <c r="J33" i="6"/>
  <c r="L33" i="6" s="1"/>
  <c r="J34" i="6"/>
  <c r="L34" i="6" s="1"/>
  <c r="J35" i="6"/>
  <c r="L35" i="6" s="1"/>
  <c r="J36" i="6"/>
  <c r="L36" i="6" s="1"/>
  <c r="J37" i="6"/>
  <c r="L37" i="6" s="1"/>
  <c r="J38" i="6"/>
  <c r="L38" i="6" s="1"/>
  <c r="J39" i="6"/>
  <c r="L39" i="6" s="1"/>
  <c r="J40" i="6"/>
  <c r="L40" i="6" s="1"/>
  <c r="J41" i="6"/>
  <c r="L41" i="6" s="1"/>
  <c r="J42" i="6"/>
  <c r="L42" i="6" s="1"/>
  <c r="J43" i="6"/>
  <c r="L43" i="6" s="1"/>
  <c r="J44" i="6"/>
  <c r="L44" i="6" s="1"/>
  <c r="J46" i="6"/>
  <c r="L46" i="6" s="1"/>
  <c r="J47" i="6"/>
  <c r="L47" i="6" s="1"/>
  <c r="J48" i="6"/>
  <c r="L48" i="6" s="1"/>
  <c r="J49" i="6"/>
  <c r="L49" i="6" s="1"/>
  <c r="J50" i="6"/>
  <c r="L50" i="6" s="1"/>
  <c r="J51" i="6"/>
  <c r="L51" i="6" s="1"/>
  <c r="J52" i="6"/>
  <c r="L52" i="6" s="1"/>
  <c r="J53" i="6"/>
  <c r="L53" i="6" s="1"/>
  <c r="J54" i="6"/>
  <c r="L54" i="6" s="1"/>
  <c r="J55" i="6"/>
  <c r="L55" i="6" s="1"/>
  <c r="J56" i="6"/>
  <c r="L56" i="6" s="1"/>
  <c r="J58" i="6"/>
  <c r="L58" i="6" s="1"/>
  <c r="J59" i="6"/>
  <c r="L59" i="6" s="1"/>
  <c r="J60" i="6"/>
  <c r="L60" i="6" s="1"/>
  <c r="J61" i="6"/>
  <c r="L61" i="6" s="1"/>
  <c r="J62" i="6"/>
  <c r="L62" i="6" s="1"/>
  <c r="J63" i="6"/>
  <c r="L63" i="6" s="1"/>
  <c r="J64" i="6"/>
  <c r="L64" i="6" s="1"/>
  <c r="J65" i="6"/>
  <c r="L65" i="6" s="1"/>
  <c r="J66" i="6"/>
  <c r="L66" i="6" s="1"/>
  <c r="J68" i="6"/>
  <c r="L68" i="6" s="1"/>
  <c r="J69" i="6"/>
  <c r="L69" i="6" s="1"/>
  <c r="J70" i="6"/>
  <c r="L70" i="6" s="1"/>
  <c r="J71" i="6"/>
  <c r="L71" i="6" s="1"/>
  <c r="L3" i="7"/>
  <c r="L4" i="7"/>
  <c r="L19" i="7"/>
  <c r="L20" i="7"/>
  <c r="L23" i="7"/>
  <c r="L42" i="7"/>
  <c r="L43" i="7"/>
  <c r="L60" i="7"/>
  <c r="J3" i="7"/>
  <c r="J4" i="7"/>
  <c r="J5" i="7"/>
  <c r="L5" i="7" s="1"/>
  <c r="J6" i="7"/>
  <c r="L6" i="7" s="1"/>
  <c r="J7" i="7"/>
  <c r="L7" i="7" s="1"/>
  <c r="J8" i="7"/>
  <c r="L8" i="7" s="1"/>
  <c r="J9" i="7"/>
  <c r="L9" i="7" s="1"/>
  <c r="J10" i="7"/>
  <c r="L10" i="7" s="1"/>
  <c r="J11" i="7"/>
  <c r="L11" i="7" s="1"/>
  <c r="J12" i="7"/>
  <c r="L12" i="7" s="1"/>
  <c r="J13" i="7"/>
  <c r="L13" i="7" s="1"/>
  <c r="J14" i="7"/>
  <c r="L14" i="7" s="1"/>
  <c r="J15" i="7"/>
  <c r="L15" i="7" s="1"/>
  <c r="J16" i="7"/>
  <c r="L16" i="7" s="1"/>
  <c r="J17" i="7"/>
  <c r="L17" i="7" s="1"/>
  <c r="J18" i="7"/>
  <c r="L18" i="7" s="1"/>
  <c r="J19" i="7"/>
  <c r="J20" i="7"/>
  <c r="J21" i="7"/>
  <c r="L21" i="7" s="1"/>
  <c r="J22" i="7"/>
  <c r="L22" i="7" s="1"/>
  <c r="J23" i="7"/>
  <c r="J24" i="7"/>
  <c r="L24" i="7" s="1"/>
  <c r="J25" i="7"/>
  <c r="L25" i="7" s="1"/>
  <c r="J26" i="7"/>
  <c r="L26" i="7" s="1"/>
  <c r="J27" i="7"/>
  <c r="L27" i="7" s="1"/>
  <c r="J28" i="7"/>
  <c r="L28" i="7" s="1"/>
  <c r="J29" i="7"/>
  <c r="L29" i="7" s="1"/>
  <c r="J30" i="7"/>
  <c r="L30" i="7" s="1"/>
  <c r="J31" i="7"/>
  <c r="L31" i="7" s="1"/>
  <c r="J32" i="7"/>
  <c r="L32" i="7" s="1"/>
  <c r="J33" i="7"/>
  <c r="L33" i="7" s="1"/>
  <c r="J34" i="7"/>
  <c r="L34" i="7" s="1"/>
  <c r="J35" i="7"/>
  <c r="L35" i="7" s="1"/>
  <c r="J36" i="7"/>
  <c r="L36" i="7" s="1"/>
  <c r="J37" i="7"/>
  <c r="L37" i="7" s="1"/>
  <c r="J38" i="7"/>
  <c r="L38" i="7" s="1"/>
  <c r="J39" i="7"/>
  <c r="L39" i="7" s="1"/>
  <c r="J40" i="7"/>
  <c r="L40" i="7" s="1"/>
  <c r="J41" i="7"/>
  <c r="L41" i="7" s="1"/>
  <c r="J42" i="7"/>
  <c r="J43" i="7"/>
  <c r="J45" i="7"/>
  <c r="L45" i="7" s="1"/>
  <c r="J46" i="7"/>
  <c r="L46" i="7" s="1"/>
  <c r="J47" i="7"/>
  <c r="L47" i="7" s="1"/>
  <c r="J48" i="7"/>
  <c r="L48" i="7" s="1"/>
  <c r="J49" i="7"/>
  <c r="L49" i="7" s="1"/>
  <c r="J50" i="7"/>
  <c r="L50" i="7" s="1"/>
  <c r="J51" i="7"/>
  <c r="L51" i="7" s="1"/>
  <c r="J52" i="7"/>
  <c r="L52" i="7" s="1"/>
  <c r="J53" i="7"/>
  <c r="L53" i="7" s="1"/>
  <c r="J54" i="7"/>
  <c r="L54" i="7" s="1"/>
  <c r="J55" i="7"/>
  <c r="L55" i="7" s="1"/>
  <c r="J56" i="7"/>
  <c r="L56" i="7" s="1"/>
  <c r="J58" i="7"/>
  <c r="L58" i="7" s="1"/>
  <c r="J59" i="7"/>
  <c r="L59" i="7" s="1"/>
  <c r="J60" i="7"/>
  <c r="J61" i="7"/>
  <c r="L61" i="7" s="1"/>
  <c r="J62" i="7"/>
  <c r="L62" i="7" s="1"/>
  <c r="J63" i="7"/>
  <c r="L63" i="7" s="1"/>
  <c r="J64" i="7"/>
  <c r="L64" i="7" s="1"/>
  <c r="J65" i="7"/>
  <c r="L65" i="7" s="1"/>
  <c r="J66" i="7"/>
  <c r="L66" i="7" s="1"/>
  <c r="J67" i="7"/>
  <c r="L67" i="7" s="1"/>
  <c r="J68" i="7"/>
  <c r="L68" i="7" s="1"/>
  <c r="J69" i="7"/>
  <c r="L69" i="7" s="1"/>
  <c r="J70" i="7"/>
  <c r="L70" i="7" s="1"/>
  <c r="J3" i="8"/>
  <c r="L3" i="8" s="1"/>
  <c r="J4" i="8"/>
  <c r="L4" i="8" s="1"/>
  <c r="J5" i="8"/>
  <c r="L5" i="8" s="1"/>
  <c r="J6" i="8"/>
  <c r="L6" i="8" s="1"/>
  <c r="J7" i="8"/>
  <c r="L7" i="8" s="1"/>
  <c r="J8" i="8"/>
  <c r="L8" i="8" s="1"/>
  <c r="J9" i="8"/>
  <c r="L9" i="8" s="1"/>
  <c r="J10" i="8"/>
  <c r="L10" i="8" s="1"/>
  <c r="J11" i="8"/>
  <c r="L11" i="8" s="1"/>
  <c r="J12" i="8"/>
  <c r="L12" i="8" s="1"/>
  <c r="J13" i="8"/>
  <c r="L13" i="8" s="1"/>
  <c r="J14" i="8"/>
  <c r="L14" i="8" s="1"/>
  <c r="J15" i="8"/>
  <c r="L15" i="8" s="1"/>
  <c r="J16" i="8"/>
  <c r="L16" i="8" s="1"/>
  <c r="J17" i="8"/>
  <c r="L17" i="8" s="1"/>
  <c r="J18" i="8"/>
  <c r="L18" i="8" s="1"/>
  <c r="J20" i="8"/>
  <c r="L20" i="8" s="1"/>
  <c r="J21" i="8"/>
  <c r="L21" i="8" s="1"/>
  <c r="J22" i="8"/>
  <c r="L22" i="8" s="1"/>
  <c r="J24" i="8"/>
  <c r="L24" i="8" s="1"/>
  <c r="J25" i="8"/>
  <c r="L25" i="8" s="1"/>
  <c r="J26" i="8"/>
  <c r="L26" i="8" s="1"/>
  <c r="J27" i="8"/>
  <c r="L27" i="8" s="1"/>
  <c r="J28" i="8"/>
  <c r="L28" i="8" s="1"/>
  <c r="J29" i="8"/>
  <c r="L29" i="8" s="1"/>
  <c r="J30" i="8"/>
  <c r="L30" i="8" s="1"/>
  <c r="J31" i="8"/>
  <c r="L31" i="8" s="1"/>
  <c r="J32" i="8"/>
  <c r="L32" i="8" s="1"/>
  <c r="J33" i="8"/>
  <c r="L33" i="8" s="1"/>
  <c r="J34" i="8"/>
  <c r="L34" i="8" s="1"/>
  <c r="J35" i="8"/>
  <c r="L35" i="8" s="1"/>
  <c r="J36" i="8"/>
  <c r="L36" i="8" s="1"/>
  <c r="J37" i="8"/>
  <c r="L37" i="8" s="1"/>
  <c r="J38" i="8"/>
  <c r="L38" i="8" s="1"/>
  <c r="J39" i="8"/>
  <c r="L39" i="8" s="1"/>
  <c r="J40" i="8"/>
  <c r="L40" i="8" s="1"/>
  <c r="J41" i="8"/>
  <c r="L41" i="8" s="1"/>
  <c r="J42" i="8"/>
  <c r="L42" i="8" s="1"/>
  <c r="J43" i="8"/>
  <c r="L43" i="8" s="1"/>
  <c r="J44" i="8"/>
  <c r="L44" i="8" s="1"/>
  <c r="J45" i="8"/>
  <c r="L45" i="8" s="1"/>
  <c r="J46" i="8"/>
  <c r="L46" i="8" s="1"/>
  <c r="J48" i="8"/>
  <c r="L48" i="8" s="1"/>
  <c r="J49" i="8"/>
  <c r="L49" i="8" s="1"/>
  <c r="J50" i="8"/>
  <c r="L50" i="8" s="1"/>
  <c r="J51" i="8"/>
  <c r="L51" i="8" s="1"/>
  <c r="J52" i="8"/>
  <c r="L52" i="8" s="1"/>
  <c r="J54" i="8"/>
  <c r="L54" i="8" s="1"/>
  <c r="J55" i="8"/>
  <c r="L55" i="8" s="1"/>
  <c r="J56" i="8"/>
  <c r="L56" i="8" s="1"/>
  <c r="J57" i="8"/>
  <c r="L57" i="8" s="1"/>
  <c r="J58" i="8"/>
  <c r="L58" i="8" s="1"/>
  <c r="J59" i="8"/>
  <c r="L59" i="8" s="1"/>
  <c r="J60" i="8"/>
  <c r="L60" i="8" s="1"/>
  <c r="J61" i="8"/>
  <c r="L61" i="8" s="1"/>
  <c r="J62" i="8"/>
  <c r="L62" i="8" s="1"/>
  <c r="J63" i="8"/>
  <c r="L63" i="8" s="1"/>
  <c r="J64" i="8"/>
  <c r="L64" i="8" s="1"/>
  <c r="J66" i="8"/>
  <c r="L66" i="8" s="1"/>
  <c r="J67" i="8"/>
  <c r="L67" i="8" s="1"/>
  <c r="J68" i="8"/>
  <c r="L68" i="8" s="1"/>
  <c r="J69" i="8"/>
  <c r="L69" i="8" s="1"/>
  <c r="J71" i="8"/>
  <c r="L71" i="8" s="1"/>
  <c r="J72" i="8"/>
  <c r="L72" i="8" s="1"/>
  <c r="J73" i="8"/>
  <c r="L73" i="8" s="1"/>
  <c r="J76" i="8"/>
  <c r="L76" i="8" s="1"/>
  <c r="J77" i="8"/>
  <c r="L77" i="8" s="1"/>
  <c r="J73" i="10"/>
  <c r="L73" i="10" s="1"/>
  <c r="J72" i="10"/>
  <c r="L72" i="10" s="1"/>
  <c r="J70" i="10"/>
  <c r="L70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J51" i="10"/>
  <c r="L51" i="10" s="1"/>
  <c r="J50" i="10"/>
  <c r="L50" i="10" s="1"/>
  <c r="J49" i="10"/>
  <c r="L49" i="10" s="1"/>
  <c r="J48" i="10"/>
  <c r="L48" i="10" s="1"/>
  <c r="J47" i="10"/>
  <c r="L47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J32" i="10"/>
  <c r="L32" i="10" s="1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C14" i="1" l="1"/>
  <c r="C22" i="1"/>
  <c r="C23" i="1"/>
  <c r="C24" i="1"/>
  <c r="C25" i="1"/>
  <c r="C27" i="1"/>
  <c r="C28" i="1"/>
  <c r="C29" i="1"/>
  <c r="C30" i="1"/>
  <c r="C31" i="1"/>
  <c r="B23" i="1"/>
  <c r="B24" i="1"/>
  <c r="D24" i="1" l="1"/>
  <c r="D23" i="1"/>
  <c r="C19" i="1"/>
  <c r="J2" i="8"/>
  <c r="L2" i="8" s="1"/>
  <c r="C17" i="1"/>
  <c r="C16" i="1"/>
  <c r="J2" i="7"/>
  <c r="L2" i="7" s="1"/>
  <c r="C21" i="1"/>
  <c r="C20" i="1"/>
  <c r="C18" i="1"/>
  <c r="C15" i="1"/>
  <c r="C13" i="1"/>
  <c r="C26" i="1"/>
  <c r="C12" i="1"/>
  <c r="C11" i="1"/>
  <c r="C10" i="1"/>
  <c r="C9" i="1"/>
  <c r="C5" i="1"/>
  <c r="B14" i="1"/>
  <c r="D14" i="1" s="1"/>
  <c r="J2" i="6"/>
  <c r="L2" i="6" s="1"/>
  <c r="B31" i="1"/>
  <c r="D31" i="1" s="1"/>
  <c r="J2" i="5"/>
  <c r="L2" i="5" s="1"/>
  <c r="B29" i="1"/>
  <c r="D29" i="1" s="1"/>
  <c r="B27" i="1"/>
  <c r="D27" i="1" s="1"/>
  <c r="B6" i="1"/>
  <c r="B4" i="1"/>
  <c r="J2" i="4"/>
  <c r="L2" i="4" s="1"/>
  <c r="C2" i="1"/>
  <c r="B19" i="1"/>
  <c r="B25" i="1"/>
  <c r="D25" i="1" s="1"/>
  <c r="B16" i="1"/>
  <c r="B13" i="1"/>
  <c r="B22" i="1"/>
  <c r="D22" i="1" s="1"/>
  <c r="B7" i="1"/>
  <c r="J2" i="3"/>
  <c r="L2" i="3" s="1"/>
  <c r="C8" i="1"/>
  <c r="C7" i="1"/>
  <c r="C6" i="1"/>
  <c r="C4" i="1"/>
  <c r="C3" i="1"/>
  <c r="B30" i="1"/>
  <c r="D30" i="1" s="1"/>
  <c r="B28" i="1"/>
  <c r="D28" i="1" s="1"/>
  <c r="B21" i="1"/>
  <c r="D21" i="1" s="1"/>
  <c r="B20" i="1"/>
  <c r="B18" i="1"/>
  <c r="B17" i="1"/>
  <c r="B15" i="1"/>
  <c r="B26" i="1"/>
  <c r="B12" i="1"/>
  <c r="B11" i="1"/>
  <c r="B10" i="1"/>
  <c r="B9" i="1"/>
  <c r="B8" i="1"/>
  <c r="B5" i="1"/>
  <c r="B3" i="1"/>
  <c r="B2" i="1"/>
  <c r="J2" i="2"/>
  <c r="L2" i="2" s="1"/>
  <c r="D19" i="1" l="1"/>
  <c r="D20" i="1"/>
  <c r="D12" i="1"/>
  <c r="D5" i="1"/>
  <c r="D2" i="1"/>
  <c r="D4" i="1"/>
  <c r="D15" i="1"/>
  <c r="D3" i="1"/>
  <c r="D8" i="1"/>
  <c r="D11" i="1"/>
  <c r="D16" i="1"/>
  <c r="D17" i="1"/>
  <c r="D18" i="1"/>
  <c r="D13" i="1"/>
  <c r="D26" i="1"/>
  <c r="D6" i="1"/>
  <c r="D7" i="1"/>
  <c r="D9" i="1"/>
  <c r="D10" i="1"/>
</calcChain>
</file>

<file path=xl/sharedStrings.xml><?xml version="1.0" encoding="utf-8"?>
<sst xmlns="http://schemas.openxmlformats.org/spreadsheetml/2006/main" count="2240" uniqueCount="157">
  <si>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</si>
  <si>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</si>
  <si>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</si>
  <si>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</si>
  <si>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</si>
  <si>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</si>
  <si>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</si>
  <si>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</si>
  <si>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</si>
  <si>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</si>
  <si>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</si>
  <si>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</si>
  <si>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</si>
  <si>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</si>
  <si>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</si>
  <si>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</si>
  <si>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</si>
  <si>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</si>
  <si>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</si>
  <si>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</si>
  <si>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</si>
  <si>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</si>
  <si>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</si>
  <si>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</si>
  <si>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</si>
  <si>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</si>
  <si>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</si>
  <si>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</si>
  <si>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</si>
  <si>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</si>
  <si>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</si>
  <si>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</si>
  <si>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</si>
  <si>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</si>
  <si>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</si>
  <si>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</si>
  <si>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Fustic</t>
  </si>
  <si>
    <t>Cocoa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</si>
  <si>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</si>
  <si>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</si>
  <si>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</si>
  <si>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</si>
  <si>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</si>
  <si>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</si>
  <si>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</si>
  <si>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</si>
  <si>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</si>
  <si>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</si>
  <si>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</si>
  <si>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</si>
  <si>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</si>
  <si>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</si>
  <si>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</si>
  <si>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</si>
  <si>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</si>
  <si>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</si>
  <si>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</si>
  <si>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</si>
  <si>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</si>
  <si>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</si>
  <si>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</si>
  <si>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</si>
  <si>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</si>
  <si>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</si>
  <si>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</si>
  <si>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</si>
  <si>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</si>
  <si>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</si>
  <si>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</si>
  <si>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</si>
  <si>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</si>
  <si>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</si>
  <si>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</si>
  <si>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</si>
  <si>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</si>
  <si>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</si>
  <si>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</si>
  <si>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</si>
  <si>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</si>
  <si>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</si>
  <si>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</si>
  <si>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</si>
  <si>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</si>
  <si>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Gum Guiacum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</si>
  <si>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</si>
  <si>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</si>
  <si>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</si>
  <si>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</si>
  <si>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</si>
  <si>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</si>
  <si>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</si>
  <si>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</si>
  <si>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</si>
  <si>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</si>
  <si>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Train Oyl</t>
  </si>
  <si>
    <t>Turpentine</t>
  </si>
  <si>
    <t>Wood, Cam</t>
  </si>
  <si>
    <t>Barbados T…</t>
  </si>
  <si>
    <t>Old Pewter</t>
  </si>
  <si>
    <t>Copper Ore</t>
  </si>
  <si>
    <t>Port</t>
  </si>
  <si>
    <t>Tortola</t>
  </si>
  <si>
    <t>Tamarinds</t>
  </si>
  <si>
    <t>Cascarilla</t>
  </si>
  <si>
    <t>Hypococania</t>
  </si>
  <si>
    <t>Wood, Cocus</t>
  </si>
  <si>
    <t>Guinea Pepper</t>
  </si>
  <si>
    <t>5g</t>
  </si>
  <si>
    <t>60646g</t>
  </si>
  <si>
    <t>30t 2h 12g</t>
  </si>
  <si>
    <t>706bags</t>
  </si>
  <si>
    <t>Juniper Berries</t>
  </si>
  <si>
    <t>19426g</t>
  </si>
  <si>
    <t>174t 47g</t>
  </si>
  <si>
    <t>Wood, Camwood</t>
  </si>
  <si>
    <t>256bags</t>
  </si>
  <si>
    <t>Jollop</t>
  </si>
  <si>
    <t>10.5g</t>
  </si>
  <si>
    <t>509921g</t>
  </si>
  <si>
    <t>66t 3h 51g</t>
  </si>
  <si>
    <t>1263.5bags</t>
  </si>
  <si>
    <t>2903g</t>
  </si>
  <si>
    <t>100t 6g</t>
  </si>
  <si>
    <t>236bags</t>
  </si>
  <si>
    <t>32g</t>
  </si>
  <si>
    <t>1g</t>
  </si>
  <si>
    <t>2710g</t>
  </si>
  <si>
    <t>4t 3h 2g</t>
  </si>
  <si>
    <t>64.5bags</t>
  </si>
  <si>
    <t>Gum Guiaci</t>
  </si>
  <si>
    <t>3g</t>
  </si>
  <si>
    <t>71688g</t>
  </si>
  <si>
    <t>53t 2h 44g</t>
  </si>
  <si>
    <t>1t 25g</t>
  </si>
  <si>
    <t>454bags</t>
  </si>
  <si>
    <t>30g</t>
  </si>
  <si>
    <t>814bags</t>
  </si>
  <si>
    <t>5411g</t>
  </si>
  <si>
    <t>3h 53g</t>
  </si>
  <si>
    <t>666.5bags</t>
  </si>
  <si>
    <t>17276g</t>
  </si>
  <si>
    <t>10t 53g</t>
  </si>
  <si>
    <t>7g</t>
  </si>
  <si>
    <t>209389g</t>
  </si>
  <si>
    <t>29t 1h 5g</t>
  </si>
  <si>
    <t>2095.5bags</t>
  </si>
  <si>
    <t>723g</t>
  </si>
  <si>
    <t>360.75bags</t>
  </si>
  <si>
    <t>70g</t>
  </si>
  <si>
    <t>1t 1h 18g</t>
  </si>
  <si>
    <t>179.75bags</t>
  </si>
  <si>
    <t>24g</t>
  </si>
  <si>
    <t>12155g</t>
  </si>
  <si>
    <t>1t</t>
  </si>
  <si>
    <t>999.5bags</t>
  </si>
  <si>
    <t>361g</t>
  </si>
  <si>
    <t>1721.5bags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</si>
</sst>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H17" sqref="H17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0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0</v>
      </c>
      <c r="D2">
        <f>B2+C2</f>
        <v>0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9.1758928571428555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3.8174107142857143</v>
      </c>
      <c r="D3">
        <f t="shared" ref="D3:D31" si="0">B3+C3</f>
        <v>12.993303571428569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41012.55044642857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13837.486607142857</v>
      </c>
      <c r="D4">
        <f t="shared" si="0"/>
        <v>54850.037053571425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20.520535714285714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1.1901785714285715</v>
      </c>
      <c r="D6">
        <f t="shared" si="0"/>
        <v>21.710714285714285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266.07142857142861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384.10714285714289</v>
      </c>
      <c r="D7">
        <f t="shared" si="0"/>
        <v>650.17857142857156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1500.0825892857142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728.24955357142858</v>
      </c>
      <c r="D8">
        <f t="shared" si="0"/>
        <v>2228.3321428571426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4.9004464285714286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46.760267857142857</v>
      </c>
      <c r="D9">
        <f t="shared" si="0"/>
        <v>51.660714285714285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9.7959821428571434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2.0031249999999998</v>
      </c>
      <c r="D10">
        <f t="shared" si="0"/>
        <v>11.799107142857142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235.703125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146.71383928571427</v>
      </c>
      <c r="D11">
        <f t="shared" si="0"/>
        <v>382.41696428571424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0.14285714285714285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0</v>
      </c>
      <c r="D12">
        <f t="shared" si="0"/>
        <v>0.14285714285714285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0.17499999999999999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0</v>
      </c>
      <c r="D13">
        <f t="shared" si="0"/>
        <v>0.17499999999999999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323.19375000000002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269.39866071428571</v>
      </c>
      <c r="D14">
        <f t="shared" si="0"/>
        <v>592.59241071428573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11.05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32.750892857142858</v>
      </c>
      <c r="D15">
        <f t="shared" si="0"/>
        <v>43.800892857142856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2979.7564732142864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1094.1379464285717</v>
      </c>
      <c r="D16">
        <f t="shared" si="0"/>
        <v>4073.8944196428583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2.6410714285714287</v>
      </c>
      <c r="D17">
        <f t="shared" si="0"/>
        <v>2.6410714285714287</v>
      </c>
    </row>
    <row r="18" spans="1:4" x14ac:dyDescent="0.25">
      <c r="A18" t="s">
        <v>56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1.6522321428571429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0.38303571428571426</v>
      </c>
      <c r="D18">
        <f t="shared" si="0"/>
        <v>2.0352678571428573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2.9544642857142858</v>
      </c>
      <c r="D19">
        <f t="shared" si="0"/>
        <v>2.9544642857142858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2.0102678571428569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0.53482142857142856</v>
      </c>
      <c r="D20">
        <f t="shared" si="0"/>
        <v>2.5450892857142855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24.978124999999999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0</v>
      </c>
      <c r="D25">
        <f t="shared" si="0"/>
        <v>24.978124999999999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484.03504464285714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48.119419642857139</v>
      </c>
      <c r="D26">
        <f t="shared" si="0"/>
        <v>532.15446428571431</v>
      </c>
    </row>
    <row r="27" spans="1:4" x14ac:dyDescent="0.25">
      <c r="A27" t="s">
        <v>63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435.76875000000001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40.159374999999997</v>
      </c>
      <c r="D27">
        <f t="shared" si="0"/>
        <v>475.92812500000002</v>
      </c>
    </row>
    <row r="28" spans="1:4" x14ac:dyDescent="0.25">
      <c r="A28" t="s">
        <v>64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492.98749999999995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479.07053571428571</v>
      </c>
      <c r="D28">
        <f t="shared" si="0"/>
        <v>972.05803571428567</v>
      </c>
    </row>
    <row r="29" spans="1:4" x14ac:dyDescent="0.25">
      <c r="A29" t="s">
        <v>65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1039.875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447.35624999999999</v>
      </c>
      <c r="D29">
        <f t="shared" si="0"/>
        <v>1487.23125</v>
      </c>
    </row>
    <row r="30" spans="1:4" x14ac:dyDescent="0.25">
      <c r="A30" t="s">
        <v>66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14.75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7.7321428571428577</v>
      </c>
      <c r="D30">
        <f t="shared" si="0"/>
        <v>22.482142857142858</v>
      </c>
    </row>
    <row r="31" spans="1:4" x14ac:dyDescent="0.25">
      <c r="A31" t="s">
        <v>67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F3" sqref="F3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1753</v>
      </c>
      <c r="B2" t="s">
        <v>57</v>
      </c>
      <c r="C2" t="s">
        <v>78</v>
      </c>
      <c r="D2" t="s">
        <v>33</v>
      </c>
    </row>
    <row r="3" spans="1:12" x14ac:dyDescent="0.25">
      <c r="A3">
        <v>1753</v>
      </c>
      <c r="B3" t="s">
        <v>59</v>
      </c>
      <c r="C3" t="s">
        <v>78</v>
      </c>
      <c r="D3" t="s">
        <v>33</v>
      </c>
    </row>
    <row r="4" spans="1:12" x14ac:dyDescent="0.25">
      <c r="A4">
        <v>1753</v>
      </c>
      <c r="B4" t="s">
        <v>38</v>
      </c>
      <c r="C4" t="s">
        <v>78</v>
      </c>
      <c r="D4" t="s">
        <v>33</v>
      </c>
    </row>
    <row r="5" spans="1:12" x14ac:dyDescent="0.25">
      <c r="A5">
        <v>1753</v>
      </c>
      <c r="B5" t="s">
        <v>4</v>
      </c>
      <c r="C5" t="s">
        <v>78</v>
      </c>
      <c r="D5" t="s">
        <v>33</v>
      </c>
    </row>
    <row r="6" spans="1:12" x14ac:dyDescent="0.25">
      <c r="A6">
        <v>1753</v>
      </c>
      <c r="B6" t="s">
        <v>60</v>
      </c>
      <c r="C6" t="s">
        <v>78</v>
      </c>
      <c r="D6" t="s">
        <v>33</v>
      </c>
    </row>
    <row r="7" spans="1:12" x14ac:dyDescent="0.25">
      <c r="A7">
        <v>1753</v>
      </c>
      <c r="B7" t="s">
        <v>71</v>
      </c>
      <c r="C7" t="s">
        <v>78</v>
      </c>
      <c r="D7" t="s">
        <v>33</v>
      </c>
    </row>
    <row r="8" spans="1:12" x14ac:dyDescent="0.25">
      <c r="A8">
        <v>1753</v>
      </c>
      <c r="B8" t="s">
        <v>45</v>
      </c>
      <c r="C8" t="s">
        <v>78</v>
      </c>
      <c r="D8" t="s">
        <v>33</v>
      </c>
    </row>
    <row r="9" spans="1:12" x14ac:dyDescent="0.25">
      <c r="A9">
        <v>1753</v>
      </c>
      <c r="B9" t="s">
        <v>79</v>
      </c>
      <c r="C9" t="s">
        <v>78</v>
      </c>
      <c r="D9" t="s">
        <v>33</v>
      </c>
    </row>
    <row r="10" spans="1:12" x14ac:dyDescent="0.25">
      <c r="A10">
        <v>1753</v>
      </c>
      <c r="B10" t="s">
        <v>5</v>
      </c>
      <c r="C10" t="s">
        <v>78</v>
      </c>
      <c r="D10" t="s">
        <v>33</v>
      </c>
    </row>
    <row r="11" spans="1:12" x14ac:dyDescent="0.25">
      <c r="A11">
        <v>1753</v>
      </c>
      <c r="B11" t="s">
        <v>61</v>
      </c>
      <c r="C11" t="s">
        <v>78</v>
      </c>
      <c r="D11" t="s">
        <v>33</v>
      </c>
    </row>
    <row r="12" spans="1:12" x14ac:dyDescent="0.25">
      <c r="A12">
        <v>1753</v>
      </c>
      <c r="B12" t="s">
        <v>6</v>
      </c>
      <c r="C12" t="s">
        <v>78</v>
      </c>
      <c r="D12" t="s">
        <v>33</v>
      </c>
    </row>
    <row r="13" spans="1:12" x14ac:dyDescent="0.25">
      <c r="A13">
        <v>1753</v>
      </c>
      <c r="B13" t="s">
        <v>62</v>
      </c>
      <c r="C13" t="s">
        <v>78</v>
      </c>
      <c r="D13" t="s">
        <v>33</v>
      </c>
    </row>
    <row r="14" spans="1:12" x14ac:dyDescent="0.25">
      <c r="A14">
        <v>1753</v>
      </c>
      <c r="B14" t="s">
        <v>40</v>
      </c>
      <c r="C14" t="s">
        <v>78</v>
      </c>
      <c r="D14" t="s">
        <v>33</v>
      </c>
    </row>
    <row r="15" spans="1:12" x14ac:dyDescent="0.25">
      <c r="A15">
        <v>1753</v>
      </c>
      <c r="B15" t="s">
        <v>39</v>
      </c>
      <c r="C15" t="s">
        <v>78</v>
      </c>
      <c r="D15" t="s">
        <v>33</v>
      </c>
    </row>
    <row r="16" spans="1:12" x14ac:dyDescent="0.25">
      <c r="A16">
        <v>1753</v>
      </c>
      <c r="B16" t="s">
        <v>8</v>
      </c>
      <c r="C16" t="s">
        <v>78</v>
      </c>
      <c r="D16" t="s">
        <v>33</v>
      </c>
    </row>
    <row r="17" spans="1:4" x14ac:dyDescent="0.25">
      <c r="A17">
        <v>1753</v>
      </c>
      <c r="B17" t="s">
        <v>42</v>
      </c>
      <c r="C17" t="s">
        <v>78</v>
      </c>
      <c r="D17" t="s">
        <v>33</v>
      </c>
    </row>
    <row r="18" spans="1:4" x14ac:dyDescent="0.25">
      <c r="A18">
        <v>1753</v>
      </c>
      <c r="B18" t="s">
        <v>80</v>
      </c>
      <c r="C18" t="s">
        <v>78</v>
      </c>
      <c r="D18" t="s">
        <v>33</v>
      </c>
    </row>
    <row r="19" spans="1:4" x14ac:dyDescent="0.25">
      <c r="A19">
        <v>1753</v>
      </c>
      <c r="B19" t="s">
        <v>81</v>
      </c>
      <c r="C19" t="s">
        <v>78</v>
      </c>
      <c r="D19" t="s">
        <v>33</v>
      </c>
    </row>
    <row r="20" spans="1:4" x14ac:dyDescent="0.25">
      <c r="A20">
        <v>1753</v>
      </c>
      <c r="B20" t="s">
        <v>48</v>
      </c>
      <c r="C20" t="s">
        <v>78</v>
      </c>
      <c r="D20" t="s">
        <v>33</v>
      </c>
    </row>
    <row r="21" spans="1:4" x14ac:dyDescent="0.25">
      <c r="A21">
        <v>1753</v>
      </c>
      <c r="B21" t="s">
        <v>9</v>
      </c>
      <c r="C21" t="s">
        <v>78</v>
      </c>
      <c r="D21" t="s">
        <v>33</v>
      </c>
    </row>
    <row r="22" spans="1:4" x14ac:dyDescent="0.25">
      <c r="A22">
        <v>1753</v>
      </c>
      <c r="B22" t="s">
        <v>10</v>
      </c>
      <c r="C22" t="s">
        <v>78</v>
      </c>
      <c r="D22" t="s">
        <v>33</v>
      </c>
    </row>
    <row r="23" spans="1:4" x14ac:dyDescent="0.25">
      <c r="A23">
        <v>1753</v>
      </c>
      <c r="B23" t="s">
        <v>11</v>
      </c>
      <c r="C23" t="s">
        <v>78</v>
      </c>
      <c r="D23" t="s">
        <v>33</v>
      </c>
    </row>
    <row r="24" spans="1:4" x14ac:dyDescent="0.25">
      <c r="A24">
        <v>1753</v>
      </c>
      <c r="B24" t="s">
        <v>41</v>
      </c>
      <c r="C24" t="s">
        <v>78</v>
      </c>
      <c r="D24" t="s">
        <v>33</v>
      </c>
    </row>
    <row r="25" spans="1:4" x14ac:dyDescent="0.25">
      <c r="A25">
        <v>1753</v>
      </c>
      <c r="B25" t="s">
        <v>82</v>
      </c>
      <c r="C25" t="s">
        <v>78</v>
      </c>
      <c r="D25" t="s">
        <v>33</v>
      </c>
    </row>
    <row r="26" spans="1:4" x14ac:dyDescent="0.25">
      <c r="A26">
        <v>1753</v>
      </c>
      <c r="B26" t="s">
        <v>83</v>
      </c>
      <c r="C26" t="s">
        <v>78</v>
      </c>
      <c r="D26" t="s">
        <v>33</v>
      </c>
    </row>
    <row r="27" spans="1:4" x14ac:dyDescent="0.25">
      <c r="A27">
        <v>1753</v>
      </c>
      <c r="B27" t="s">
        <v>46</v>
      </c>
      <c r="C27" t="s">
        <v>78</v>
      </c>
      <c r="D27" t="s">
        <v>33</v>
      </c>
    </row>
    <row r="28" spans="1:4" x14ac:dyDescent="0.25">
      <c r="A28">
        <v>1753</v>
      </c>
      <c r="B28" t="s">
        <v>84</v>
      </c>
      <c r="C28" t="s">
        <v>78</v>
      </c>
      <c r="D28" t="s">
        <v>33</v>
      </c>
    </row>
    <row r="29" spans="1:4" x14ac:dyDescent="0.25">
      <c r="A29">
        <v>1753</v>
      </c>
      <c r="B29" t="s">
        <v>85</v>
      </c>
      <c r="C29" t="s">
        <v>78</v>
      </c>
      <c r="D29" t="s">
        <v>33</v>
      </c>
    </row>
    <row r="30" spans="1:4" x14ac:dyDescent="0.25">
      <c r="A30">
        <v>1753</v>
      </c>
      <c r="B30" t="s">
        <v>86</v>
      </c>
      <c r="C30" t="s">
        <v>78</v>
      </c>
      <c r="D30" t="s">
        <v>33</v>
      </c>
    </row>
    <row r="31" spans="1:4" x14ac:dyDescent="0.25">
      <c r="A31">
        <v>1753</v>
      </c>
      <c r="B31" t="s">
        <v>34</v>
      </c>
      <c r="C31" t="s">
        <v>78</v>
      </c>
      <c r="D31" t="s">
        <v>33</v>
      </c>
    </row>
    <row r="32" spans="1:4" x14ac:dyDescent="0.25">
      <c r="A32">
        <v>1753</v>
      </c>
      <c r="B32" t="s">
        <v>13</v>
      </c>
      <c r="C32" t="s">
        <v>78</v>
      </c>
      <c r="D32" t="s">
        <v>33</v>
      </c>
    </row>
    <row r="33" spans="1:4" x14ac:dyDescent="0.25">
      <c r="A33">
        <v>1753</v>
      </c>
      <c r="B33" t="s">
        <v>14</v>
      </c>
      <c r="C33" t="s">
        <v>78</v>
      </c>
      <c r="D33" t="s">
        <v>33</v>
      </c>
    </row>
    <row r="34" spans="1:4" x14ac:dyDescent="0.25">
      <c r="A34">
        <v>1753</v>
      </c>
      <c r="B34" t="s">
        <v>23</v>
      </c>
      <c r="C34" t="s">
        <v>78</v>
      </c>
      <c r="D34" t="s">
        <v>33</v>
      </c>
    </row>
    <row r="35" spans="1:4" x14ac:dyDescent="0.25">
      <c r="A35">
        <v>1753</v>
      </c>
      <c r="B35" t="s">
        <v>27</v>
      </c>
      <c r="C35" t="s">
        <v>78</v>
      </c>
      <c r="D35" t="s">
        <v>33</v>
      </c>
    </row>
    <row r="36" spans="1:4" x14ac:dyDescent="0.25">
      <c r="A36">
        <v>1753</v>
      </c>
      <c r="B36" t="s">
        <v>15</v>
      </c>
      <c r="C36" t="s">
        <v>78</v>
      </c>
      <c r="D36" t="s">
        <v>33</v>
      </c>
    </row>
    <row r="37" spans="1:4" x14ac:dyDescent="0.25">
      <c r="A37">
        <v>1753</v>
      </c>
      <c r="B37" t="s">
        <v>44</v>
      </c>
      <c r="C37" t="s">
        <v>78</v>
      </c>
      <c r="D37" t="s">
        <v>33</v>
      </c>
    </row>
    <row r="38" spans="1:4" x14ac:dyDescent="0.25">
      <c r="A38">
        <v>1753</v>
      </c>
      <c r="B38" t="s">
        <v>87</v>
      </c>
      <c r="C38" t="s">
        <v>78</v>
      </c>
      <c r="D38" t="s">
        <v>33</v>
      </c>
    </row>
    <row r="39" spans="1:4" x14ac:dyDescent="0.25">
      <c r="A39">
        <v>1753</v>
      </c>
      <c r="B39" t="s">
        <v>49</v>
      </c>
      <c r="C39" t="s">
        <v>78</v>
      </c>
      <c r="D39" t="s">
        <v>33</v>
      </c>
    </row>
    <row r="40" spans="1:4" x14ac:dyDescent="0.25">
      <c r="A40">
        <v>1753</v>
      </c>
      <c r="B40" t="s">
        <v>16</v>
      </c>
      <c r="C40" t="s">
        <v>78</v>
      </c>
      <c r="D40" t="s">
        <v>33</v>
      </c>
    </row>
    <row r="41" spans="1:4" x14ac:dyDescent="0.25">
      <c r="A41">
        <v>1753</v>
      </c>
      <c r="B41" t="s">
        <v>17</v>
      </c>
      <c r="C41" t="s">
        <v>78</v>
      </c>
      <c r="D41" t="s">
        <v>33</v>
      </c>
    </row>
    <row r="42" spans="1:4" x14ac:dyDescent="0.25">
      <c r="A42">
        <v>1753</v>
      </c>
      <c r="B42" t="s">
        <v>18</v>
      </c>
      <c r="C42" t="s">
        <v>78</v>
      </c>
      <c r="D42" t="s">
        <v>33</v>
      </c>
    </row>
    <row r="43" spans="1:4" x14ac:dyDescent="0.25">
      <c r="A43">
        <v>1753</v>
      </c>
      <c r="B43" t="s">
        <v>26</v>
      </c>
      <c r="C43" t="s">
        <v>78</v>
      </c>
      <c r="D43" t="s">
        <v>33</v>
      </c>
    </row>
    <row r="44" spans="1:4" x14ac:dyDescent="0.25">
      <c r="A44">
        <v>1753</v>
      </c>
      <c r="B44" t="s">
        <v>88</v>
      </c>
      <c r="C44" t="s">
        <v>78</v>
      </c>
      <c r="D44" t="s">
        <v>33</v>
      </c>
    </row>
    <row r="45" spans="1:4" x14ac:dyDescent="0.25">
      <c r="A45">
        <v>1753</v>
      </c>
      <c r="B45" t="s">
        <v>19</v>
      </c>
      <c r="C45" t="s">
        <v>78</v>
      </c>
      <c r="D45" t="s">
        <v>33</v>
      </c>
    </row>
    <row r="46" spans="1:4" x14ac:dyDescent="0.25">
      <c r="A46">
        <v>1753</v>
      </c>
      <c r="B46" t="s">
        <v>47</v>
      </c>
      <c r="C46" t="s">
        <v>78</v>
      </c>
      <c r="D46" t="s">
        <v>33</v>
      </c>
    </row>
    <row r="47" spans="1:4" x14ac:dyDescent="0.25">
      <c r="A47">
        <v>1753</v>
      </c>
      <c r="B47" t="s">
        <v>89</v>
      </c>
      <c r="C47" t="s">
        <v>78</v>
      </c>
      <c r="D47" t="s">
        <v>33</v>
      </c>
    </row>
    <row r="48" spans="1:4" x14ac:dyDescent="0.25">
      <c r="A48">
        <v>1753</v>
      </c>
      <c r="B48" t="s">
        <v>56</v>
      </c>
      <c r="C48" t="s">
        <v>78</v>
      </c>
      <c r="D48" t="s">
        <v>33</v>
      </c>
    </row>
    <row r="49" spans="1:4" x14ac:dyDescent="0.25">
      <c r="A49">
        <v>1753</v>
      </c>
      <c r="B49" t="s">
        <v>90</v>
      </c>
      <c r="C49" t="s">
        <v>78</v>
      </c>
      <c r="D49" t="s">
        <v>33</v>
      </c>
    </row>
    <row r="50" spans="1:4" x14ac:dyDescent="0.25">
      <c r="A50">
        <v>1753</v>
      </c>
      <c r="B50" t="s">
        <v>20</v>
      </c>
      <c r="C50" t="s">
        <v>78</v>
      </c>
      <c r="D50" t="s">
        <v>33</v>
      </c>
    </row>
    <row r="51" spans="1:4" x14ac:dyDescent="0.25">
      <c r="A51">
        <v>1753</v>
      </c>
      <c r="B51" t="s">
        <v>21</v>
      </c>
      <c r="C51" t="s">
        <v>78</v>
      </c>
      <c r="D51" t="s">
        <v>33</v>
      </c>
    </row>
    <row r="52" spans="1:4" x14ac:dyDescent="0.25">
      <c r="A52">
        <v>1753</v>
      </c>
      <c r="B52" t="s">
        <v>22</v>
      </c>
      <c r="C52" t="s">
        <v>78</v>
      </c>
      <c r="D52" t="s">
        <v>33</v>
      </c>
    </row>
    <row r="53" spans="1:4" x14ac:dyDescent="0.25">
      <c r="A53">
        <v>1753</v>
      </c>
      <c r="B53" t="s">
        <v>63</v>
      </c>
      <c r="C53" t="s">
        <v>78</v>
      </c>
      <c r="D53" t="s">
        <v>33</v>
      </c>
    </row>
    <row r="54" spans="1:4" x14ac:dyDescent="0.25">
      <c r="A54">
        <v>1753</v>
      </c>
      <c r="B54" t="s">
        <v>91</v>
      </c>
      <c r="C54" t="s">
        <v>78</v>
      </c>
      <c r="D54" t="s">
        <v>33</v>
      </c>
    </row>
    <row r="55" spans="1:4" x14ac:dyDescent="0.25">
      <c r="A55">
        <v>1753</v>
      </c>
      <c r="B55" t="s">
        <v>64</v>
      </c>
      <c r="C55" t="s">
        <v>78</v>
      </c>
      <c r="D55" t="s">
        <v>33</v>
      </c>
    </row>
    <row r="56" spans="1:4" x14ac:dyDescent="0.25">
      <c r="A56">
        <v>1753</v>
      </c>
      <c r="B56" t="s">
        <v>92</v>
      </c>
      <c r="C56" t="s">
        <v>78</v>
      </c>
      <c r="D56" t="s">
        <v>33</v>
      </c>
    </row>
    <row r="57" spans="1:4" x14ac:dyDescent="0.25">
      <c r="A57">
        <v>1753</v>
      </c>
      <c r="B57" t="s">
        <v>65</v>
      </c>
      <c r="C57" t="s">
        <v>78</v>
      </c>
      <c r="D57" t="s">
        <v>33</v>
      </c>
    </row>
    <row r="58" spans="1:4" x14ac:dyDescent="0.25">
      <c r="A58">
        <v>1753</v>
      </c>
      <c r="B58" t="s">
        <v>93</v>
      </c>
      <c r="C58" t="s">
        <v>78</v>
      </c>
      <c r="D58" t="s">
        <v>33</v>
      </c>
    </row>
    <row r="59" spans="1:4" x14ac:dyDescent="0.25">
      <c r="A59">
        <v>1753</v>
      </c>
      <c r="B59" t="s">
        <v>73</v>
      </c>
      <c r="C59" t="s">
        <v>78</v>
      </c>
      <c r="D59" t="s">
        <v>33</v>
      </c>
    </row>
    <row r="60" spans="1:4" x14ac:dyDescent="0.25">
      <c r="A60">
        <v>1753</v>
      </c>
      <c r="B60" t="s">
        <v>66</v>
      </c>
      <c r="C60" t="s">
        <v>78</v>
      </c>
      <c r="D60" t="s">
        <v>33</v>
      </c>
    </row>
    <row r="61" spans="1:4" x14ac:dyDescent="0.25">
      <c r="A61">
        <v>1753</v>
      </c>
      <c r="B61" t="s">
        <v>67</v>
      </c>
      <c r="C61" t="s">
        <v>78</v>
      </c>
      <c r="D61" t="s">
        <v>33</v>
      </c>
    </row>
    <row r="62" spans="1:4" x14ac:dyDescent="0.25">
      <c r="A62">
        <v>1753</v>
      </c>
      <c r="B62" t="s">
        <v>4</v>
      </c>
      <c r="C62" t="s">
        <v>78</v>
      </c>
      <c r="D62" t="s">
        <v>35</v>
      </c>
    </row>
    <row r="63" spans="1:4" x14ac:dyDescent="0.25">
      <c r="A63">
        <v>1753</v>
      </c>
      <c r="B63" t="s">
        <v>6</v>
      </c>
      <c r="C63" t="s">
        <v>78</v>
      </c>
      <c r="D63" t="s">
        <v>35</v>
      </c>
    </row>
    <row r="64" spans="1:4" x14ac:dyDescent="0.25">
      <c r="A64">
        <v>1753</v>
      </c>
      <c r="B64" t="s">
        <v>62</v>
      </c>
      <c r="C64" t="s">
        <v>78</v>
      </c>
      <c r="D64" t="s">
        <v>35</v>
      </c>
    </row>
    <row r="65" spans="1:4" x14ac:dyDescent="0.25">
      <c r="A65">
        <v>1753</v>
      </c>
      <c r="B65" t="s">
        <v>7</v>
      </c>
      <c r="C65" t="s">
        <v>78</v>
      </c>
      <c r="D65" t="s">
        <v>35</v>
      </c>
    </row>
    <row r="66" spans="1:4" x14ac:dyDescent="0.25">
      <c r="A66">
        <v>1753</v>
      </c>
      <c r="B66" t="s">
        <v>8</v>
      </c>
      <c r="C66" t="s">
        <v>78</v>
      </c>
      <c r="D66" t="s">
        <v>35</v>
      </c>
    </row>
    <row r="67" spans="1:4" x14ac:dyDescent="0.25">
      <c r="A67">
        <v>1753</v>
      </c>
      <c r="B67" t="s">
        <v>9</v>
      </c>
      <c r="C67" t="s">
        <v>78</v>
      </c>
      <c r="D67" t="s">
        <v>35</v>
      </c>
    </row>
    <row r="68" spans="1:4" x14ac:dyDescent="0.25">
      <c r="A68">
        <v>1753</v>
      </c>
      <c r="B68" t="s">
        <v>10</v>
      </c>
      <c r="C68" t="s">
        <v>78</v>
      </c>
      <c r="D68" t="s">
        <v>35</v>
      </c>
    </row>
    <row r="69" spans="1:4" x14ac:dyDescent="0.25">
      <c r="A69">
        <v>1753</v>
      </c>
      <c r="B69" t="s">
        <v>11</v>
      </c>
      <c r="C69" t="s">
        <v>78</v>
      </c>
      <c r="D69" t="s">
        <v>35</v>
      </c>
    </row>
    <row r="70" spans="1:4" x14ac:dyDescent="0.25">
      <c r="A70">
        <v>1753</v>
      </c>
      <c r="B70" t="s">
        <v>12</v>
      </c>
      <c r="C70" t="s">
        <v>78</v>
      </c>
      <c r="D70" t="s">
        <v>35</v>
      </c>
    </row>
    <row r="71" spans="1:4" x14ac:dyDescent="0.25">
      <c r="A71">
        <v>1753</v>
      </c>
      <c r="B71" t="s">
        <v>13</v>
      </c>
      <c r="C71" t="s">
        <v>78</v>
      </c>
      <c r="D71" t="s">
        <v>35</v>
      </c>
    </row>
    <row r="72" spans="1:4" x14ac:dyDescent="0.25">
      <c r="A72">
        <v>1753</v>
      </c>
      <c r="B72" t="s">
        <v>14</v>
      </c>
      <c r="C72" t="s">
        <v>78</v>
      </c>
      <c r="D72" t="s">
        <v>35</v>
      </c>
    </row>
    <row r="73" spans="1:4" x14ac:dyDescent="0.25">
      <c r="A73">
        <v>1753</v>
      </c>
      <c r="B73" t="s">
        <v>27</v>
      </c>
      <c r="C73" t="s">
        <v>78</v>
      </c>
      <c r="D73" t="s">
        <v>35</v>
      </c>
    </row>
    <row r="74" spans="1:4" x14ac:dyDescent="0.25">
      <c r="A74">
        <v>1753</v>
      </c>
      <c r="B74" t="s">
        <v>15</v>
      </c>
      <c r="C74" t="s">
        <v>78</v>
      </c>
      <c r="D74" t="s">
        <v>35</v>
      </c>
    </row>
    <row r="75" spans="1:4" x14ac:dyDescent="0.25">
      <c r="A75">
        <v>1753</v>
      </c>
      <c r="B75" t="s">
        <v>16</v>
      </c>
      <c r="C75" t="s">
        <v>78</v>
      </c>
      <c r="D75" t="s">
        <v>35</v>
      </c>
    </row>
    <row r="76" spans="1:4" x14ac:dyDescent="0.25">
      <c r="A76">
        <v>1753</v>
      </c>
      <c r="B76" t="s">
        <v>17</v>
      </c>
      <c r="C76" t="s">
        <v>78</v>
      </c>
      <c r="D76" t="s">
        <v>35</v>
      </c>
    </row>
    <row r="77" spans="1:4" x14ac:dyDescent="0.25">
      <c r="A77">
        <v>1753</v>
      </c>
      <c r="B77" t="s">
        <v>18</v>
      </c>
      <c r="C77" t="s">
        <v>78</v>
      </c>
      <c r="D77" t="s">
        <v>35</v>
      </c>
    </row>
    <row r="78" spans="1:4" x14ac:dyDescent="0.25">
      <c r="A78">
        <v>1753</v>
      </c>
      <c r="B78" t="s">
        <v>19</v>
      </c>
      <c r="C78" t="s">
        <v>78</v>
      </c>
      <c r="D78" t="s">
        <v>35</v>
      </c>
    </row>
    <row r="79" spans="1:4" x14ac:dyDescent="0.25">
      <c r="A79">
        <v>1753</v>
      </c>
      <c r="B79" t="s">
        <v>47</v>
      </c>
      <c r="C79" t="s">
        <v>78</v>
      </c>
      <c r="D79" t="s">
        <v>35</v>
      </c>
    </row>
    <row r="80" spans="1:4" x14ac:dyDescent="0.25">
      <c r="A80">
        <v>1753</v>
      </c>
      <c r="B80" t="s">
        <v>56</v>
      </c>
      <c r="C80" t="s">
        <v>78</v>
      </c>
      <c r="D80" t="s">
        <v>35</v>
      </c>
    </row>
    <row r="81" spans="1:4" x14ac:dyDescent="0.25">
      <c r="A81">
        <v>1753</v>
      </c>
      <c r="B81" t="s">
        <v>74</v>
      </c>
      <c r="C81" t="s">
        <v>78</v>
      </c>
      <c r="D81" t="s">
        <v>35</v>
      </c>
    </row>
    <row r="82" spans="1:4" x14ac:dyDescent="0.25">
      <c r="A82">
        <v>1753</v>
      </c>
      <c r="B82" t="s">
        <v>21</v>
      </c>
      <c r="C82" t="s">
        <v>78</v>
      </c>
      <c r="D82" t="s">
        <v>35</v>
      </c>
    </row>
    <row r="83" spans="1:4" x14ac:dyDescent="0.25">
      <c r="A83">
        <v>1753</v>
      </c>
      <c r="B83" t="s">
        <v>22</v>
      </c>
      <c r="C83" t="s">
        <v>78</v>
      </c>
      <c r="D83" t="s">
        <v>35</v>
      </c>
    </row>
    <row r="84" spans="1:4" x14ac:dyDescent="0.25">
      <c r="A84">
        <v>1753</v>
      </c>
      <c r="B84" t="s">
        <v>63</v>
      </c>
      <c r="C84" t="s">
        <v>78</v>
      </c>
      <c r="D84" t="s">
        <v>35</v>
      </c>
    </row>
    <row r="85" spans="1:4" x14ac:dyDescent="0.25">
      <c r="A85">
        <v>1753</v>
      </c>
      <c r="B85" t="s">
        <v>64</v>
      </c>
      <c r="C85" t="s">
        <v>78</v>
      </c>
      <c r="D85" t="s">
        <v>35</v>
      </c>
    </row>
    <row r="86" spans="1:4" x14ac:dyDescent="0.25">
      <c r="A86">
        <v>1753</v>
      </c>
      <c r="B86" t="s">
        <v>65</v>
      </c>
      <c r="C86" t="s">
        <v>78</v>
      </c>
      <c r="D86" t="s">
        <v>35</v>
      </c>
    </row>
    <row r="87" spans="1:4" x14ac:dyDescent="0.25">
      <c r="A87">
        <v>1753</v>
      </c>
      <c r="B87" t="s">
        <v>73</v>
      </c>
      <c r="C87" t="s">
        <v>78</v>
      </c>
      <c r="D87" t="s">
        <v>35</v>
      </c>
    </row>
    <row r="88" spans="1:4" x14ac:dyDescent="0.25">
      <c r="A88">
        <v>1753</v>
      </c>
      <c r="B88" t="s">
        <v>66</v>
      </c>
      <c r="C88" t="s">
        <v>78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66"/>
  <sheetViews>
    <sheetView topLeftCell="A9" workbookViewId="0">
      <selection activeCell="H41" sqref="H41"/>
    </sheetView>
  </sheetViews>
  <sheetFormatPr defaultRowHeight="15" x14ac:dyDescent="0.25"/>
  <cols>
    <col min="1" max="1" width="10.85546875" customWidth="1"/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  <c r="O1" s="1"/>
    </row>
    <row r="2" spans="1:15" x14ac:dyDescent="0.25">
      <c r="A2">
        <v>1753</v>
      </c>
      <c r="B2" t="s">
        <v>38</v>
      </c>
      <c r="C2" t="s">
        <v>55</v>
      </c>
      <c r="D2" t="s">
        <v>33</v>
      </c>
      <c r="J2">
        <f t="shared" ref="J2:J65" si="0">(E2*2240)+(F2*112)+(G2*28)+H2</f>
        <v>0</v>
      </c>
      <c r="L2">
        <f t="shared" ref="L2:L65" si="1">J2/2240</f>
        <v>0</v>
      </c>
    </row>
    <row r="3" spans="1:15" x14ac:dyDescent="0.25">
      <c r="A3">
        <v>1753</v>
      </c>
      <c r="B3" t="s">
        <v>4</v>
      </c>
      <c r="C3" t="s">
        <v>55</v>
      </c>
      <c r="D3" t="s">
        <v>33</v>
      </c>
      <c r="J3">
        <f t="shared" si="0"/>
        <v>0</v>
      </c>
      <c r="L3">
        <f t="shared" si="1"/>
        <v>0</v>
      </c>
    </row>
    <row r="4" spans="1:15" x14ac:dyDescent="0.25">
      <c r="A4">
        <v>1753</v>
      </c>
      <c r="B4" t="s">
        <v>5</v>
      </c>
      <c r="C4" t="s">
        <v>55</v>
      </c>
      <c r="D4" t="s">
        <v>33</v>
      </c>
      <c r="F4">
        <v>105</v>
      </c>
      <c r="G4">
        <v>3</v>
      </c>
      <c r="J4">
        <f t="shared" si="0"/>
        <v>11844</v>
      </c>
      <c r="L4">
        <f t="shared" si="1"/>
        <v>5.2874999999999996</v>
      </c>
    </row>
    <row r="5" spans="1:15" x14ac:dyDescent="0.25">
      <c r="A5">
        <v>1753</v>
      </c>
      <c r="B5" t="s">
        <v>6</v>
      </c>
      <c r="C5" t="s">
        <v>55</v>
      </c>
      <c r="D5" t="s">
        <v>33</v>
      </c>
      <c r="F5">
        <v>194845</v>
      </c>
      <c r="G5">
        <v>1</v>
      </c>
      <c r="H5">
        <v>26</v>
      </c>
      <c r="J5">
        <f t="shared" si="0"/>
        <v>21822694</v>
      </c>
      <c r="L5">
        <f t="shared" si="1"/>
        <v>9742.2741071428572</v>
      </c>
    </row>
    <row r="6" spans="1:15" x14ac:dyDescent="0.25">
      <c r="A6">
        <v>1753</v>
      </c>
      <c r="B6" t="s">
        <v>7</v>
      </c>
      <c r="C6" t="s">
        <v>55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1753</v>
      </c>
      <c r="B7" t="s">
        <v>8</v>
      </c>
      <c r="C7" t="s">
        <v>55</v>
      </c>
      <c r="D7" t="s">
        <v>33</v>
      </c>
      <c r="F7">
        <v>1</v>
      </c>
      <c r="G7">
        <v>2</v>
      </c>
      <c r="H7">
        <v>8</v>
      </c>
      <c r="J7">
        <f t="shared" si="0"/>
        <v>176</v>
      </c>
      <c r="L7">
        <f t="shared" si="1"/>
        <v>7.857142857142857E-2</v>
      </c>
    </row>
    <row r="8" spans="1:15" x14ac:dyDescent="0.25">
      <c r="A8">
        <v>1753</v>
      </c>
      <c r="B8" t="s">
        <v>48</v>
      </c>
      <c r="C8" t="s">
        <v>55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1753</v>
      </c>
      <c r="B9" t="s">
        <v>9</v>
      </c>
      <c r="C9" t="s">
        <v>55</v>
      </c>
      <c r="D9" t="s">
        <v>33</v>
      </c>
      <c r="H9">
        <f>706*200</f>
        <v>141200</v>
      </c>
      <c r="I9" t="s">
        <v>110</v>
      </c>
      <c r="J9">
        <f t="shared" si="0"/>
        <v>141200</v>
      </c>
      <c r="L9">
        <f t="shared" si="1"/>
        <v>63.035714285714285</v>
      </c>
    </row>
    <row r="10" spans="1:15" x14ac:dyDescent="0.25">
      <c r="A10">
        <v>1753</v>
      </c>
      <c r="B10" t="s">
        <v>10</v>
      </c>
      <c r="C10" t="s">
        <v>55</v>
      </c>
      <c r="D10" t="s">
        <v>33</v>
      </c>
      <c r="F10">
        <v>2192</v>
      </c>
      <c r="J10">
        <f t="shared" si="0"/>
        <v>245504</v>
      </c>
      <c r="L10">
        <f t="shared" si="1"/>
        <v>109.6</v>
      </c>
    </row>
    <row r="11" spans="1:15" x14ac:dyDescent="0.25">
      <c r="A11">
        <v>1753</v>
      </c>
      <c r="B11" t="s">
        <v>11</v>
      </c>
      <c r="C11" t="s">
        <v>55</v>
      </c>
      <c r="D11" t="s">
        <v>33</v>
      </c>
      <c r="F11">
        <v>20</v>
      </c>
      <c r="G11">
        <v>3</v>
      </c>
      <c r="J11">
        <f t="shared" si="0"/>
        <v>2324</v>
      </c>
      <c r="L11">
        <f t="shared" si="1"/>
        <v>1.0375000000000001</v>
      </c>
    </row>
    <row r="12" spans="1:15" x14ac:dyDescent="0.25">
      <c r="A12">
        <v>1753</v>
      </c>
      <c r="B12" t="s">
        <v>41</v>
      </c>
      <c r="C12" t="s">
        <v>55</v>
      </c>
      <c r="D12" t="s">
        <v>33</v>
      </c>
      <c r="H12">
        <v>73</v>
      </c>
      <c r="J12">
        <f t="shared" si="0"/>
        <v>73</v>
      </c>
      <c r="L12">
        <f t="shared" si="1"/>
        <v>3.2589285714285716E-2</v>
      </c>
    </row>
    <row r="13" spans="1:15" x14ac:dyDescent="0.25">
      <c r="A13">
        <v>1753</v>
      </c>
      <c r="B13" t="s">
        <v>82</v>
      </c>
      <c r="C13" t="s">
        <v>55</v>
      </c>
      <c r="D13" t="s">
        <v>33</v>
      </c>
      <c r="H13">
        <v>445</v>
      </c>
      <c r="J13">
        <f t="shared" si="0"/>
        <v>445</v>
      </c>
      <c r="L13">
        <f t="shared" si="1"/>
        <v>0.19866071428571427</v>
      </c>
    </row>
    <row r="14" spans="1:15" x14ac:dyDescent="0.25">
      <c r="A14">
        <v>1753</v>
      </c>
      <c r="B14" t="s">
        <v>106</v>
      </c>
      <c r="C14" t="s">
        <v>55</v>
      </c>
      <c r="D14" t="s">
        <v>33</v>
      </c>
      <c r="H14">
        <v>400</v>
      </c>
      <c r="J14">
        <f t="shared" si="0"/>
        <v>400</v>
      </c>
      <c r="L14">
        <f t="shared" si="1"/>
        <v>0.17857142857142858</v>
      </c>
    </row>
    <row r="15" spans="1:15" x14ac:dyDescent="0.25">
      <c r="A15">
        <v>1753</v>
      </c>
      <c r="B15" t="s">
        <v>12</v>
      </c>
      <c r="C15" t="s">
        <v>55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1753</v>
      </c>
      <c r="B16" t="s">
        <v>34</v>
      </c>
      <c r="C16" t="s">
        <v>55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1753</v>
      </c>
      <c r="B17" t="s">
        <v>13</v>
      </c>
      <c r="C17" t="s">
        <v>55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1753</v>
      </c>
      <c r="B18" t="s">
        <v>14</v>
      </c>
      <c r="C18" t="s">
        <v>55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1753</v>
      </c>
      <c r="B19" t="s">
        <v>27</v>
      </c>
      <c r="C19" t="s">
        <v>55</v>
      </c>
      <c r="D19" t="s">
        <v>33</v>
      </c>
      <c r="H19">
        <v>77000</v>
      </c>
      <c r="I19" t="s">
        <v>109</v>
      </c>
      <c r="J19">
        <f t="shared" si="0"/>
        <v>77000</v>
      </c>
      <c r="L19">
        <f t="shared" si="1"/>
        <v>34.375</v>
      </c>
    </row>
    <row r="20" spans="1:12" x14ac:dyDescent="0.25">
      <c r="A20">
        <v>1753</v>
      </c>
      <c r="B20" t="s">
        <v>15</v>
      </c>
      <c r="C20" t="s">
        <v>55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1753</v>
      </c>
      <c r="B21" t="s">
        <v>49</v>
      </c>
      <c r="C21" t="s">
        <v>55</v>
      </c>
      <c r="D21" t="s">
        <v>33</v>
      </c>
      <c r="H21">
        <v>50</v>
      </c>
      <c r="I21" t="s">
        <v>107</v>
      </c>
      <c r="J21">
        <f t="shared" si="0"/>
        <v>50</v>
      </c>
      <c r="L21">
        <f t="shared" si="1"/>
        <v>2.2321428571428572E-2</v>
      </c>
    </row>
    <row r="22" spans="1:12" x14ac:dyDescent="0.25">
      <c r="A22">
        <v>1753</v>
      </c>
      <c r="B22" t="s">
        <v>17</v>
      </c>
      <c r="C22" t="s">
        <v>55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1753</v>
      </c>
      <c r="B23" t="s">
        <v>18</v>
      </c>
      <c r="C23" t="s">
        <v>55</v>
      </c>
      <c r="D23" t="s">
        <v>33</v>
      </c>
      <c r="H23">
        <v>606616</v>
      </c>
      <c r="I23" t="s">
        <v>108</v>
      </c>
      <c r="J23">
        <f t="shared" si="0"/>
        <v>606616</v>
      </c>
      <c r="L23">
        <f t="shared" si="1"/>
        <v>270.81071428571431</v>
      </c>
    </row>
    <row r="24" spans="1:12" x14ac:dyDescent="0.25">
      <c r="A24">
        <v>1753</v>
      </c>
      <c r="B24" t="s">
        <v>19</v>
      </c>
      <c r="C24" t="s">
        <v>55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1753</v>
      </c>
      <c r="B25" t="s">
        <v>56</v>
      </c>
      <c r="C25" t="s">
        <v>55</v>
      </c>
      <c r="D25" t="s">
        <v>33</v>
      </c>
      <c r="H25">
        <v>293</v>
      </c>
      <c r="J25">
        <f t="shared" si="0"/>
        <v>293</v>
      </c>
      <c r="L25">
        <f t="shared" si="1"/>
        <v>0.13080357142857144</v>
      </c>
    </row>
    <row r="26" spans="1:12" x14ac:dyDescent="0.25">
      <c r="A26">
        <v>1753</v>
      </c>
      <c r="B26" t="s">
        <v>102</v>
      </c>
      <c r="C26" t="s">
        <v>55</v>
      </c>
      <c r="D26" t="s">
        <v>33</v>
      </c>
      <c r="H26">
        <v>82</v>
      </c>
      <c r="J26">
        <f t="shared" si="0"/>
        <v>82</v>
      </c>
      <c r="L26">
        <f t="shared" si="1"/>
        <v>3.6607142857142859E-2</v>
      </c>
    </row>
    <row r="27" spans="1:12" x14ac:dyDescent="0.25">
      <c r="A27">
        <v>1753</v>
      </c>
      <c r="B27" t="s">
        <v>20</v>
      </c>
      <c r="C27" t="s">
        <v>55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1753</v>
      </c>
      <c r="B28" t="s">
        <v>21</v>
      </c>
      <c r="C28" t="s">
        <v>55</v>
      </c>
      <c r="D28" t="s">
        <v>33</v>
      </c>
      <c r="H28">
        <v>91</v>
      </c>
      <c r="J28">
        <f t="shared" si="0"/>
        <v>91</v>
      </c>
      <c r="L28">
        <f t="shared" si="1"/>
        <v>4.0625000000000001E-2</v>
      </c>
    </row>
    <row r="29" spans="1:12" x14ac:dyDescent="0.25">
      <c r="A29">
        <v>1753</v>
      </c>
      <c r="B29" t="s">
        <v>94</v>
      </c>
      <c r="C29" t="s">
        <v>55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1753</v>
      </c>
      <c r="B30" t="s">
        <v>22</v>
      </c>
      <c r="C30" t="s">
        <v>55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1753</v>
      </c>
      <c r="B31" t="s">
        <v>63</v>
      </c>
      <c r="C31" t="s">
        <v>55</v>
      </c>
      <c r="D31" t="s">
        <v>33</v>
      </c>
      <c r="E31">
        <v>121</v>
      </c>
      <c r="F31">
        <v>3</v>
      </c>
      <c r="G31">
        <v>2</v>
      </c>
      <c r="J31">
        <f t="shared" si="0"/>
        <v>271432</v>
      </c>
      <c r="L31">
        <f t="shared" si="1"/>
        <v>121.175</v>
      </c>
    </row>
    <row r="32" spans="1:12" x14ac:dyDescent="0.25">
      <c r="A32">
        <v>1753</v>
      </c>
      <c r="B32" t="s">
        <v>91</v>
      </c>
      <c r="C32" t="s">
        <v>55</v>
      </c>
      <c r="D32" t="s">
        <v>33</v>
      </c>
      <c r="E32">
        <v>63</v>
      </c>
      <c r="F32">
        <v>19</v>
      </c>
      <c r="G32">
        <v>3</v>
      </c>
      <c r="J32">
        <f t="shared" si="0"/>
        <v>143332</v>
      </c>
      <c r="L32">
        <f t="shared" si="1"/>
        <v>63.987499999999997</v>
      </c>
    </row>
    <row r="33" spans="1:12" x14ac:dyDescent="0.25">
      <c r="A33">
        <v>1753</v>
      </c>
      <c r="B33" t="s">
        <v>64</v>
      </c>
      <c r="C33" t="s">
        <v>55</v>
      </c>
      <c r="D33" t="s">
        <v>33</v>
      </c>
      <c r="E33">
        <v>36</v>
      </c>
      <c r="F33">
        <v>2</v>
      </c>
      <c r="J33">
        <f t="shared" si="0"/>
        <v>80864</v>
      </c>
      <c r="L33">
        <f t="shared" si="1"/>
        <v>36.1</v>
      </c>
    </row>
    <row r="34" spans="1:12" x14ac:dyDescent="0.25">
      <c r="A34">
        <v>1753</v>
      </c>
      <c r="B34" t="s">
        <v>93</v>
      </c>
      <c r="C34" t="s">
        <v>55</v>
      </c>
      <c r="D34" t="s">
        <v>33</v>
      </c>
      <c r="E34">
        <v>1</v>
      </c>
      <c r="J34">
        <f t="shared" si="0"/>
        <v>2240</v>
      </c>
      <c r="L34">
        <f t="shared" si="1"/>
        <v>1</v>
      </c>
    </row>
    <row r="35" spans="1:12" x14ac:dyDescent="0.25">
      <c r="A35">
        <v>1753</v>
      </c>
      <c r="B35" t="s">
        <v>66</v>
      </c>
      <c r="C35" t="s">
        <v>55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1753</v>
      </c>
      <c r="B36" t="s">
        <v>5</v>
      </c>
      <c r="C36" t="s">
        <v>55</v>
      </c>
      <c r="D36" t="s">
        <v>35</v>
      </c>
      <c r="F36">
        <v>17</v>
      </c>
      <c r="H36">
        <v>24</v>
      </c>
      <c r="J36">
        <f t="shared" si="0"/>
        <v>1928</v>
      </c>
      <c r="L36">
        <f t="shared" si="1"/>
        <v>0.86071428571428577</v>
      </c>
    </row>
    <row r="37" spans="1:12" x14ac:dyDescent="0.25">
      <c r="A37">
        <v>1753</v>
      </c>
      <c r="B37" t="s">
        <v>6</v>
      </c>
      <c r="C37" t="s">
        <v>55</v>
      </c>
      <c r="D37" t="s">
        <v>35</v>
      </c>
      <c r="F37">
        <v>28065</v>
      </c>
      <c r="G37">
        <v>1</v>
      </c>
      <c r="H37">
        <v>14</v>
      </c>
      <c r="J37">
        <f t="shared" si="0"/>
        <v>3143322</v>
      </c>
      <c r="L37">
        <f t="shared" si="1"/>
        <v>1403.26875</v>
      </c>
    </row>
    <row r="38" spans="1:12" x14ac:dyDescent="0.25">
      <c r="A38">
        <v>1753</v>
      </c>
      <c r="B38" t="s">
        <v>37</v>
      </c>
      <c r="C38" t="s">
        <v>55</v>
      </c>
      <c r="D38" t="s">
        <v>35</v>
      </c>
      <c r="J38">
        <f t="shared" si="0"/>
        <v>0</v>
      </c>
      <c r="L38">
        <f t="shared" si="1"/>
        <v>0</v>
      </c>
    </row>
    <row r="39" spans="1:12" x14ac:dyDescent="0.25">
      <c r="A39">
        <v>1753</v>
      </c>
      <c r="B39" t="s">
        <v>8</v>
      </c>
      <c r="C39" t="s">
        <v>55</v>
      </c>
      <c r="D39" t="s">
        <v>35</v>
      </c>
      <c r="J39">
        <f t="shared" si="0"/>
        <v>0</v>
      </c>
      <c r="L39">
        <f t="shared" si="1"/>
        <v>0</v>
      </c>
    </row>
    <row r="40" spans="1:12" x14ac:dyDescent="0.25">
      <c r="A40">
        <v>1753</v>
      </c>
      <c r="B40" t="s">
        <v>9</v>
      </c>
      <c r="C40" t="s">
        <v>55</v>
      </c>
      <c r="D40" t="s">
        <v>35</v>
      </c>
      <c r="H40">
        <f>666.5*200</f>
        <v>133300</v>
      </c>
      <c r="I40" t="s">
        <v>139</v>
      </c>
      <c r="J40">
        <f t="shared" si="0"/>
        <v>133300</v>
      </c>
      <c r="L40">
        <f t="shared" si="1"/>
        <v>59.508928571428569</v>
      </c>
    </row>
    <row r="41" spans="1:12" x14ac:dyDescent="0.25">
      <c r="A41">
        <v>1753</v>
      </c>
      <c r="B41" t="s">
        <v>10</v>
      </c>
      <c r="C41" t="s">
        <v>55</v>
      </c>
      <c r="D41" t="s">
        <v>35</v>
      </c>
      <c r="F41">
        <v>502</v>
      </c>
      <c r="H41">
        <v>18</v>
      </c>
      <c r="J41">
        <f t="shared" si="0"/>
        <v>56242</v>
      </c>
      <c r="L41">
        <f t="shared" si="1"/>
        <v>25.108035714285716</v>
      </c>
    </row>
    <row r="42" spans="1:12" x14ac:dyDescent="0.25">
      <c r="A42">
        <v>1753</v>
      </c>
      <c r="B42" t="s">
        <v>11</v>
      </c>
      <c r="C42" t="s">
        <v>55</v>
      </c>
      <c r="D42" t="s">
        <v>35</v>
      </c>
      <c r="F42">
        <v>115</v>
      </c>
      <c r="G42">
        <v>3</v>
      </c>
      <c r="J42">
        <f t="shared" si="0"/>
        <v>12964</v>
      </c>
      <c r="L42">
        <f t="shared" si="1"/>
        <v>5.7874999999999996</v>
      </c>
    </row>
    <row r="43" spans="1:12" x14ac:dyDescent="0.25">
      <c r="A43">
        <v>1753</v>
      </c>
      <c r="B43" t="s">
        <v>36</v>
      </c>
      <c r="C43" t="s">
        <v>55</v>
      </c>
      <c r="D43" t="s">
        <v>35</v>
      </c>
      <c r="J43">
        <f t="shared" si="0"/>
        <v>0</v>
      </c>
      <c r="L43">
        <f t="shared" si="1"/>
        <v>0</v>
      </c>
    </row>
    <row r="44" spans="1:12" x14ac:dyDescent="0.25">
      <c r="A44">
        <v>1753</v>
      </c>
      <c r="B44" t="s">
        <v>41</v>
      </c>
      <c r="C44" t="s">
        <v>55</v>
      </c>
      <c r="D44" t="s">
        <v>35</v>
      </c>
      <c r="J44">
        <f t="shared" si="0"/>
        <v>0</v>
      </c>
      <c r="L44">
        <f t="shared" si="1"/>
        <v>0</v>
      </c>
    </row>
    <row r="45" spans="1:12" x14ac:dyDescent="0.25">
      <c r="A45">
        <v>1753</v>
      </c>
      <c r="B45" t="s">
        <v>82</v>
      </c>
      <c r="C45" t="s">
        <v>55</v>
      </c>
      <c r="D45" t="s">
        <v>35</v>
      </c>
      <c r="H45">
        <v>650</v>
      </c>
      <c r="J45">
        <f t="shared" si="0"/>
        <v>650</v>
      </c>
      <c r="L45">
        <f t="shared" si="1"/>
        <v>0.29017857142857145</v>
      </c>
    </row>
    <row r="46" spans="1:12" x14ac:dyDescent="0.25">
      <c r="A46">
        <v>1753</v>
      </c>
      <c r="B46" t="s">
        <v>12</v>
      </c>
      <c r="C46" t="s">
        <v>55</v>
      </c>
      <c r="D46" t="s">
        <v>35</v>
      </c>
      <c r="J46">
        <f t="shared" si="0"/>
        <v>0</v>
      </c>
      <c r="L46">
        <f t="shared" si="1"/>
        <v>0</v>
      </c>
    </row>
    <row r="47" spans="1:12" x14ac:dyDescent="0.25">
      <c r="A47">
        <v>1753</v>
      </c>
      <c r="B47" t="s">
        <v>13</v>
      </c>
      <c r="C47" t="s">
        <v>55</v>
      </c>
      <c r="D47" t="s">
        <v>35</v>
      </c>
      <c r="E47">
        <v>15</v>
      </c>
      <c r="J47">
        <f t="shared" si="0"/>
        <v>33600</v>
      </c>
      <c r="L47">
        <f t="shared" si="1"/>
        <v>15</v>
      </c>
    </row>
    <row r="48" spans="1:12" x14ac:dyDescent="0.25">
      <c r="A48">
        <v>1753</v>
      </c>
      <c r="B48" t="s">
        <v>14</v>
      </c>
      <c r="C48" t="s">
        <v>55</v>
      </c>
      <c r="D48" t="s">
        <v>35</v>
      </c>
      <c r="J48">
        <f t="shared" si="0"/>
        <v>0</v>
      </c>
      <c r="L48">
        <f t="shared" si="1"/>
        <v>0</v>
      </c>
    </row>
    <row r="49" spans="1:12" x14ac:dyDescent="0.25">
      <c r="A49">
        <v>1753</v>
      </c>
      <c r="B49" t="s">
        <v>27</v>
      </c>
      <c r="C49" t="s">
        <v>55</v>
      </c>
      <c r="D49" t="s">
        <v>35</v>
      </c>
      <c r="H49">
        <v>2420.5</v>
      </c>
      <c r="I49" t="s">
        <v>138</v>
      </c>
      <c r="J49">
        <f t="shared" si="0"/>
        <v>2420.5</v>
      </c>
      <c r="L49">
        <f t="shared" si="1"/>
        <v>1.0805803571428572</v>
      </c>
    </row>
    <row r="50" spans="1:12" x14ac:dyDescent="0.25">
      <c r="A50">
        <v>1753</v>
      </c>
      <c r="B50" t="s">
        <v>15</v>
      </c>
      <c r="C50" t="s">
        <v>55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1753</v>
      </c>
      <c r="B51" t="s">
        <v>49</v>
      </c>
      <c r="C51" t="s">
        <v>55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1753</v>
      </c>
      <c r="B52" t="s">
        <v>17</v>
      </c>
      <c r="C52" t="s">
        <v>55</v>
      </c>
      <c r="D52" t="s">
        <v>35</v>
      </c>
      <c r="F52">
        <v>21</v>
      </c>
      <c r="G52">
        <v>3</v>
      </c>
      <c r="J52">
        <f t="shared" si="0"/>
        <v>2436</v>
      </c>
      <c r="L52">
        <f t="shared" si="1"/>
        <v>1.0874999999999999</v>
      </c>
    </row>
    <row r="53" spans="1:12" x14ac:dyDescent="0.25">
      <c r="A53">
        <v>1753</v>
      </c>
      <c r="B53" t="s">
        <v>18</v>
      </c>
      <c r="C53" t="s">
        <v>55</v>
      </c>
      <c r="D53" t="s">
        <v>35</v>
      </c>
      <c r="H53">
        <v>54124</v>
      </c>
      <c r="I53" t="s">
        <v>137</v>
      </c>
      <c r="J53">
        <f t="shared" si="0"/>
        <v>54124</v>
      </c>
      <c r="L53">
        <f t="shared" si="1"/>
        <v>24.162500000000001</v>
      </c>
    </row>
    <row r="54" spans="1:12" x14ac:dyDescent="0.25">
      <c r="A54">
        <v>1753</v>
      </c>
      <c r="B54" t="s">
        <v>19</v>
      </c>
      <c r="C54" t="s">
        <v>55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1753</v>
      </c>
      <c r="B55" t="s">
        <v>56</v>
      </c>
      <c r="C55" t="s">
        <v>55</v>
      </c>
      <c r="D55" t="s">
        <v>35</v>
      </c>
      <c r="H55">
        <v>64</v>
      </c>
      <c r="J55">
        <f t="shared" si="0"/>
        <v>64</v>
      </c>
      <c r="L55">
        <f t="shared" si="1"/>
        <v>2.8571428571428571E-2</v>
      </c>
    </row>
    <row r="56" spans="1:12" x14ac:dyDescent="0.25">
      <c r="A56">
        <v>1753</v>
      </c>
      <c r="B56" t="s">
        <v>102</v>
      </c>
      <c r="C56" t="s">
        <v>55</v>
      </c>
      <c r="D56" t="s">
        <v>35</v>
      </c>
      <c r="H56">
        <v>13</v>
      </c>
      <c r="J56">
        <f t="shared" si="0"/>
        <v>13</v>
      </c>
      <c r="L56">
        <f t="shared" si="1"/>
        <v>5.8035714285714288E-3</v>
      </c>
    </row>
    <row r="57" spans="1:12" x14ac:dyDescent="0.25">
      <c r="A57">
        <v>1753</v>
      </c>
      <c r="B57" t="s">
        <v>20</v>
      </c>
      <c r="C57" t="s">
        <v>55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1753</v>
      </c>
      <c r="B58" t="s">
        <v>21</v>
      </c>
      <c r="C58" t="s">
        <v>55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1753</v>
      </c>
      <c r="B59" t="s">
        <v>95</v>
      </c>
      <c r="C59" t="s">
        <v>55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1753</v>
      </c>
      <c r="B60" t="s">
        <v>22</v>
      </c>
      <c r="C60" t="s">
        <v>55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1753</v>
      </c>
      <c r="B61" t="s">
        <v>63</v>
      </c>
      <c r="C61" t="s">
        <v>55</v>
      </c>
      <c r="D61" t="s">
        <v>35</v>
      </c>
      <c r="E61">
        <v>10</v>
      </c>
      <c r="F61">
        <v>10</v>
      </c>
      <c r="J61">
        <f t="shared" si="0"/>
        <v>23520</v>
      </c>
      <c r="L61">
        <f t="shared" si="1"/>
        <v>10.5</v>
      </c>
    </row>
    <row r="62" spans="1:12" x14ac:dyDescent="0.25">
      <c r="A62">
        <v>1753</v>
      </c>
      <c r="B62" t="s">
        <v>96</v>
      </c>
      <c r="C62" t="s">
        <v>55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1753</v>
      </c>
      <c r="B63" t="s">
        <v>91</v>
      </c>
      <c r="C63" t="s">
        <v>55</v>
      </c>
      <c r="D63" t="s">
        <v>35</v>
      </c>
      <c r="E63">
        <v>51</v>
      </c>
      <c r="F63">
        <v>10</v>
      </c>
      <c r="G63">
        <v>3</v>
      </c>
      <c r="H63">
        <v>16</v>
      </c>
      <c r="J63">
        <f t="shared" si="0"/>
        <v>115460</v>
      </c>
      <c r="L63">
        <f t="shared" si="1"/>
        <v>51.544642857142854</v>
      </c>
    </row>
    <row r="64" spans="1:12" x14ac:dyDescent="0.25">
      <c r="A64">
        <v>1753</v>
      </c>
      <c r="B64" t="s">
        <v>64</v>
      </c>
      <c r="C64" t="s">
        <v>55</v>
      </c>
      <c r="D64" t="s">
        <v>35</v>
      </c>
      <c r="E64">
        <v>69</v>
      </c>
      <c r="F64">
        <v>13</v>
      </c>
      <c r="G64">
        <v>3</v>
      </c>
      <c r="H64">
        <v>24</v>
      </c>
      <c r="J64">
        <f t="shared" si="0"/>
        <v>156124</v>
      </c>
      <c r="L64">
        <f t="shared" si="1"/>
        <v>69.698214285714286</v>
      </c>
    </row>
    <row r="65" spans="1:12" x14ac:dyDescent="0.25">
      <c r="A65">
        <v>1753</v>
      </c>
      <c r="B65" t="s">
        <v>65</v>
      </c>
      <c r="C65" t="s">
        <v>55</v>
      </c>
      <c r="D65" t="s">
        <v>35</v>
      </c>
      <c r="E65">
        <v>2</v>
      </c>
      <c r="J65">
        <f t="shared" si="0"/>
        <v>4480</v>
      </c>
      <c r="L65">
        <f t="shared" si="1"/>
        <v>2</v>
      </c>
    </row>
    <row r="66" spans="1:12" x14ac:dyDescent="0.25">
      <c r="A66">
        <v>1753</v>
      </c>
      <c r="B66" t="s">
        <v>66</v>
      </c>
      <c r="C66" t="s">
        <v>55</v>
      </c>
      <c r="D66" t="s">
        <v>35</v>
      </c>
      <c r="F66">
        <v>9</v>
      </c>
      <c r="G6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3"/>
  <sheetViews>
    <sheetView topLeftCell="A63"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1753</v>
      </c>
      <c r="B2" t="s">
        <v>57</v>
      </c>
      <c r="C2" t="s">
        <v>58</v>
      </c>
      <c r="D2" t="s">
        <v>33</v>
      </c>
      <c r="J2">
        <f t="shared" ref="J2:J69" si="0">(E2*2240)+(F2*112)+(G2*28)+H2</f>
        <v>0</v>
      </c>
      <c r="L2">
        <f t="shared" ref="L2:L69" si="1">J2/2240</f>
        <v>0</v>
      </c>
    </row>
    <row r="3" spans="1:12" x14ac:dyDescent="0.25">
      <c r="A3">
        <v>1753</v>
      </c>
      <c r="B3" t="s">
        <v>59</v>
      </c>
      <c r="C3" t="s">
        <v>58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1753</v>
      </c>
      <c r="B4" t="s">
        <v>38</v>
      </c>
      <c r="C4" t="s">
        <v>58</v>
      </c>
      <c r="D4" t="s">
        <v>33</v>
      </c>
      <c r="H4">
        <v>14149</v>
      </c>
      <c r="J4">
        <f t="shared" si="0"/>
        <v>14149</v>
      </c>
      <c r="L4">
        <f t="shared" si="1"/>
        <v>6.3165178571428573</v>
      </c>
    </row>
    <row r="5" spans="1:12" x14ac:dyDescent="0.25">
      <c r="A5">
        <v>1753</v>
      </c>
      <c r="B5" t="s">
        <v>4</v>
      </c>
      <c r="C5" t="s">
        <v>58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1753</v>
      </c>
      <c r="B6" t="s">
        <v>60</v>
      </c>
      <c r="C6" t="s">
        <v>58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1753</v>
      </c>
      <c r="B7" t="s">
        <v>97</v>
      </c>
      <c r="C7" t="s">
        <v>58</v>
      </c>
      <c r="D7" t="s">
        <v>33</v>
      </c>
      <c r="H7">
        <v>1209</v>
      </c>
      <c r="J7">
        <f t="shared" si="0"/>
        <v>1209</v>
      </c>
      <c r="L7">
        <f t="shared" si="1"/>
        <v>0.53973214285714288</v>
      </c>
    </row>
    <row r="8" spans="1:12" x14ac:dyDescent="0.25">
      <c r="A8">
        <v>1753</v>
      </c>
      <c r="B8" t="s">
        <v>45</v>
      </c>
      <c r="C8" t="s">
        <v>58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1753</v>
      </c>
      <c r="B9" t="s">
        <v>5</v>
      </c>
      <c r="C9" t="s">
        <v>58</v>
      </c>
      <c r="D9" t="s">
        <v>33</v>
      </c>
      <c r="F9">
        <v>77</v>
      </c>
      <c r="G9">
        <v>1</v>
      </c>
      <c r="H9">
        <v>18</v>
      </c>
      <c r="J9">
        <f t="shared" si="0"/>
        <v>8670</v>
      </c>
      <c r="L9">
        <f t="shared" si="1"/>
        <v>3.8705357142857144</v>
      </c>
    </row>
    <row r="10" spans="1:12" x14ac:dyDescent="0.25">
      <c r="A10">
        <v>1753</v>
      </c>
      <c r="B10" t="s">
        <v>61</v>
      </c>
      <c r="C10" t="s">
        <v>58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1753</v>
      </c>
      <c r="B11" t="s">
        <v>6</v>
      </c>
      <c r="C11" t="s">
        <v>58</v>
      </c>
      <c r="D11" t="s">
        <v>33</v>
      </c>
      <c r="F11">
        <v>109367</v>
      </c>
      <c r="G11">
        <v>1</v>
      </c>
      <c r="J11">
        <f t="shared" si="0"/>
        <v>12249132</v>
      </c>
      <c r="L11">
        <f t="shared" si="1"/>
        <v>5468.3625000000002</v>
      </c>
    </row>
    <row r="12" spans="1:12" x14ac:dyDescent="0.25">
      <c r="A12">
        <v>1753</v>
      </c>
      <c r="B12" t="s">
        <v>62</v>
      </c>
      <c r="C12" t="s">
        <v>58</v>
      </c>
      <c r="D12" t="s">
        <v>33</v>
      </c>
      <c r="H12">
        <v>1344</v>
      </c>
      <c r="J12">
        <f t="shared" si="0"/>
        <v>1344</v>
      </c>
      <c r="L12">
        <f t="shared" si="1"/>
        <v>0.6</v>
      </c>
    </row>
    <row r="13" spans="1:12" x14ac:dyDescent="0.25">
      <c r="A13">
        <v>1753</v>
      </c>
      <c r="B13" t="s">
        <v>40</v>
      </c>
      <c r="C13" t="s">
        <v>58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1753</v>
      </c>
      <c r="B14" t="s">
        <v>39</v>
      </c>
      <c r="C14" t="s">
        <v>58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1753</v>
      </c>
      <c r="B15" t="s">
        <v>8</v>
      </c>
      <c r="C15" t="s">
        <v>58</v>
      </c>
      <c r="D15" t="s">
        <v>33</v>
      </c>
      <c r="F15">
        <v>22</v>
      </c>
      <c r="H15">
        <v>8</v>
      </c>
      <c r="J15">
        <f t="shared" si="0"/>
        <v>2472</v>
      </c>
      <c r="L15">
        <f t="shared" si="1"/>
        <v>1.1035714285714286</v>
      </c>
    </row>
    <row r="16" spans="1:12" x14ac:dyDescent="0.25">
      <c r="A16">
        <v>1753</v>
      </c>
      <c r="B16" t="s">
        <v>42</v>
      </c>
      <c r="C16" t="s">
        <v>58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1753</v>
      </c>
      <c r="B17" t="s">
        <v>81</v>
      </c>
      <c r="C17" t="s">
        <v>58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1753</v>
      </c>
      <c r="B18" t="s">
        <v>9</v>
      </c>
      <c r="C18" t="s">
        <v>58</v>
      </c>
      <c r="D18" t="s">
        <v>33</v>
      </c>
      <c r="H18">
        <f>256*200</f>
        <v>51200</v>
      </c>
      <c r="I18" t="s">
        <v>115</v>
      </c>
      <c r="J18">
        <f t="shared" si="0"/>
        <v>51200</v>
      </c>
      <c r="L18">
        <f t="shared" si="1"/>
        <v>22.857142857142858</v>
      </c>
    </row>
    <row r="19" spans="1:12" x14ac:dyDescent="0.25">
      <c r="A19">
        <v>1753</v>
      </c>
      <c r="B19" t="s">
        <v>10</v>
      </c>
      <c r="C19" t="s">
        <v>58</v>
      </c>
      <c r="D19" t="s">
        <v>33</v>
      </c>
      <c r="F19">
        <v>8567</v>
      </c>
      <c r="H19">
        <v>7</v>
      </c>
      <c r="J19">
        <f t="shared" si="0"/>
        <v>959511</v>
      </c>
      <c r="L19">
        <f t="shared" si="1"/>
        <v>428.35312499999998</v>
      </c>
    </row>
    <row r="20" spans="1:12" x14ac:dyDescent="0.25">
      <c r="A20">
        <v>1753</v>
      </c>
      <c r="B20" t="s">
        <v>11</v>
      </c>
      <c r="C20" t="s">
        <v>58</v>
      </c>
      <c r="D20" t="s">
        <v>33</v>
      </c>
      <c r="F20">
        <v>12</v>
      </c>
      <c r="J20">
        <f t="shared" si="0"/>
        <v>1344</v>
      </c>
      <c r="L20">
        <f t="shared" si="1"/>
        <v>0.6</v>
      </c>
    </row>
    <row r="21" spans="1:12" x14ac:dyDescent="0.25">
      <c r="A21">
        <v>1753</v>
      </c>
      <c r="B21" t="s">
        <v>41</v>
      </c>
      <c r="C21" t="s">
        <v>58</v>
      </c>
      <c r="D21" t="s">
        <v>33</v>
      </c>
      <c r="H21">
        <v>767</v>
      </c>
      <c r="J21">
        <f t="shared" si="0"/>
        <v>767</v>
      </c>
      <c r="L21">
        <f t="shared" si="1"/>
        <v>0.34241071428571429</v>
      </c>
    </row>
    <row r="22" spans="1:12" x14ac:dyDescent="0.25">
      <c r="A22">
        <v>1753</v>
      </c>
      <c r="B22" t="s">
        <v>46</v>
      </c>
      <c r="C22" t="s">
        <v>58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1753</v>
      </c>
      <c r="B23" t="s">
        <v>12</v>
      </c>
      <c r="C23" t="s">
        <v>58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1753</v>
      </c>
      <c r="B24" t="s">
        <v>111</v>
      </c>
      <c r="C24" t="s">
        <v>58</v>
      </c>
      <c r="D24" t="s">
        <v>33</v>
      </c>
      <c r="G24">
        <v>19</v>
      </c>
      <c r="H24">
        <v>9</v>
      </c>
      <c r="J24">
        <f t="shared" si="0"/>
        <v>541</v>
      </c>
      <c r="L24">
        <f t="shared" si="1"/>
        <v>0.24151785714285715</v>
      </c>
    </row>
    <row r="25" spans="1:12" x14ac:dyDescent="0.25">
      <c r="A25">
        <v>1753</v>
      </c>
      <c r="B25" t="s">
        <v>34</v>
      </c>
      <c r="C25" t="s">
        <v>58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1753</v>
      </c>
      <c r="B26" t="s">
        <v>13</v>
      </c>
      <c r="C26" t="s">
        <v>58</v>
      </c>
      <c r="D26" t="s">
        <v>33</v>
      </c>
      <c r="E26">
        <v>30</v>
      </c>
      <c r="J26">
        <f t="shared" si="0"/>
        <v>67200</v>
      </c>
      <c r="L26">
        <f t="shared" si="1"/>
        <v>30</v>
      </c>
    </row>
    <row r="27" spans="1:12" x14ac:dyDescent="0.25">
      <c r="A27">
        <v>1753</v>
      </c>
      <c r="B27" t="s">
        <v>14</v>
      </c>
      <c r="C27" t="s">
        <v>58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1753</v>
      </c>
      <c r="B28" t="s">
        <v>23</v>
      </c>
      <c r="C28" t="s">
        <v>58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1753</v>
      </c>
      <c r="B29" t="s">
        <v>27</v>
      </c>
      <c r="C29" t="s">
        <v>58</v>
      </c>
      <c r="D29" t="s">
        <v>33</v>
      </c>
      <c r="H29">
        <v>439062.5</v>
      </c>
      <c r="I29" t="s">
        <v>113</v>
      </c>
      <c r="J29">
        <f t="shared" si="0"/>
        <v>439062.5</v>
      </c>
      <c r="L29">
        <f t="shared" si="1"/>
        <v>196.01004464285714</v>
      </c>
    </row>
    <row r="30" spans="1:12" x14ac:dyDescent="0.25">
      <c r="A30">
        <v>1753</v>
      </c>
      <c r="B30" t="s">
        <v>15</v>
      </c>
      <c r="C30" t="s">
        <v>58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1753</v>
      </c>
      <c r="B31" t="s">
        <v>44</v>
      </c>
      <c r="C31" t="s">
        <v>58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1753</v>
      </c>
      <c r="B32" t="s">
        <v>49</v>
      </c>
      <c r="C32" t="s">
        <v>58</v>
      </c>
      <c r="D32" t="s">
        <v>33</v>
      </c>
      <c r="H32">
        <v>397.5</v>
      </c>
      <c r="I32">
        <v>39.75</v>
      </c>
      <c r="J32">
        <f t="shared" si="0"/>
        <v>397.5</v>
      </c>
      <c r="L32">
        <f t="shared" si="1"/>
        <v>0.17745535714285715</v>
      </c>
    </row>
    <row r="33" spans="1:12" x14ac:dyDescent="0.25">
      <c r="A33">
        <v>1753</v>
      </c>
      <c r="B33" t="s">
        <v>16</v>
      </c>
      <c r="C33" t="s">
        <v>58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1753</v>
      </c>
      <c r="B34" t="s">
        <v>17</v>
      </c>
      <c r="C34" t="s">
        <v>58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1753</v>
      </c>
      <c r="B35" t="s">
        <v>18</v>
      </c>
      <c r="C35" t="s">
        <v>58</v>
      </c>
      <c r="D35" t="s">
        <v>33</v>
      </c>
      <c r="H35">
        <v>194310</v>
      </c>
      <c r="I35" t="s">
        <v>112</v>
      </c>
      <c r="J35">
        <f t="shared" si="0"/>
        <v>194310</v>
      </c>
      <c r="L35">
        <f t="shared" si="1"/>
        <v>86.745535714285708</v>
      </c>
    </row>
    <row r="36" spans="1:12" x14ac:dyDescent="0.25">
      <c r="A36">
        <v>1753</v>
      </c>
      <c r="B36" t="s">
        <v>26</v>
      </c>
      <c r="C36" t="s">
        <v>58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1753</v>
      </c>
      <c r="B37" t="s">
        <v>19</v>
      </c>
      <c r="C37" t="s">
        <v>58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1753</v>
      </c>
      <c r="B38" t="s">
        <v>47</v>
      </c>
      <c r="C38" t="s">
        <v>58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1753</v>
      </c>
      <c r="B39" t="s">
        <v>56</v>
      </c>
      <c r="C39" t="s">
        <v>58</v>
      </c>
      <c r="D39" t="s">
        <v>33</v>
      </c>
      <c r="H39">
        <v>1965</v>
      </c>
      <c r="J39">
        <f t="shared" si="0"/>
        <v>1965</v>
      </c>
      <c r="L39">
        <f t="shared" si="1"/>
        <v>0.8772321428571429</v>
      </c>
    </row>
    <row r="40" spans="1:12" x14ac:dyDescent="0.25">
      <c r="A40">
        <v>1753</v>
      </c>
      <c r="B40" t="s">
        <v>102</v>
      </c>
      <c r="C40" t="s">
        <v>58</v>
      </c>
      <c r="D40" t="s">
        <v>33</v>
      </c>
      <c r="H40">
        <v>735</v>
      </c>
      <c r="J40">
        <f t="shared" si="0"/>
        <v>735</v>
      </c>
      <c r="L40">
        <f t="shared" si="1"/>
        <v>0.328125</v>
      </c>
    </row>
    <row r="41" spans="1:12" x14ac:dyDescent="0.25">
      <c r="A41">
        <v>1753</v>
      </c>
      <c r="B41" t="s">
        <v>20</v>
      </c>
      <c r="C41" t="s">
        <v>58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1753</v>
      </c>
      <c r="B42" t="s">
        <v>21</v>
      </c>
      <c r="C42" t="s">
        <v>58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1753</v>
      </c>
      <c r="B43" t="s">
        <v>22</v>
      </c>
      <c r="C43" t="s">
        <v>58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1753</v>
      </c>
      <c r="B44" t="s">
        <v>63</v>
      </c>
      <c r="C44" t="s">
        <v>58</v>
      </c>
      <c r="D44" t="s">
        <v>33</v>
      </c>
      <c r="E44">
        <v>57</v>
      </c>
      <c r="J44">
        <f t="shared" si="0"/>
        <v>127680</v>
      </c>
      <c r="L44">
        <f t="shared" si="1"/>
        <v>57</v>
      </c>
    </row>
    <row r="45" spans="1:12" x14ac:dyDescent="0.25">
      <c r="A45">
        <v>1753</v>
      </c>
      <c r="B45" t="s">
        <v>114</v>
      </c>
      <c r="C45" t="s">
        <v>58</v>
      </c>
      <c r="D45" t="s">
        <v>33</v>
      </c>
      <c r="E45">
        <v>8</v>
      </c>
      <c r="J45">
        <f t="shared" si="0"/>
        <v>17920</v>
      </c>
      <c r="L45">
        <f t="shared" si="1"/>
        <v>8</v>
      </c>
    </row>
    <row r="46" spans="1:12" x14ac:dyDescent="0.25">
      <c r="A46">
        <v>1753</v>
      </c>
      <c r="B46" t="s">
        <v>91</v>
      </c>
      <c r="C46" t="s">
        <v>58</v>
      </c>
      <c r="D46" t="s">
        <v>33</v>
      </c>
      <c r="E46">
        <v>24</v>
      </c>
      <c r="J46">
        <f t="shared" si="0"/>
        <v>53760</v>
      </c>
      <c r="L46">
        <f t="shared" si="1"/>
        <v>24</v>
      </c>
    </row>
    <row r="47" spans="1:12" x14ac:dyDescent="0.25">
      <c r="A47">
        <v>1753</v>
      </c>
      <c r="B47" t="s">
        <v>64</v>
      </c>
      <c r="C47" t="s">
        <v>58</v>
      </c>
      <c r="D47" t="s">
        <v>33</v>
      </c>
      <c r="E47">
        <v>82</v>
      </c>
      <c r="F47">
        <v>11</v>
      </c>
      <c r="J47">
        <f t="shared" si="0"/>
        <v>184912</v>
      </c>
      <c r="L47">
        <f t="shared" si="1"/>
        <v>82.55</v>
      </c>
    </row>
    <row r="48" spans="1:12" x14ac:dyDescent="0.25">
      <c r="A48">
        <v>1753</v>
      </c>
      <c r="B48" t="s">
        <v>65</v>
      </c>
      <c r="C48" t="s">
        <v>58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1753</v>
      </c>
      <c r="B49" t="s">
        <v>93</v>
      </c>
      <c r="C49" t="s">
        <v>58</v>
      </c>
      <c r="D49" t="s">
        <v>33</v>
      </c>
      <c r="E49">
        <v>4</v>
      </c>
      <c r="J49">
        <f t="shared" si="0"/>
        <v>8960</v>
      </c>
      <c r="L49">
        <f t="shared" si="1"/>
        <v>4</v>
      </c>
    </row>
    <row r="50" spans="1:12" x14ac:dyDescent="0.25">
      <c r="A50">
        <v>1753</v>
      </c>
      <c r="B50" t="s">
        <v>73</v>
      </c>
      <c r="C50" t="s">
        <v>58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1753</v>
      </c>
      <c r="B51" t="s">
        <v>66</v>
      </c>
      <c r="C51" t="s">
        <v>58</v>
      </c>
      <c r="D51" t="s">
        <v>33</v>
      </c>
      <c r="E51">
        <v>14</v>
      </c>
      <c r="F51">
        <v>5</v>
      </c>
      <c r="J51">
        <f t="shared" si="0"/>
        <v>31920</v>
      </c>
      <c r="L51">
        <f t="shared" si="1"/>
        <v>14.25</v>
      </c>
    </row>
    <row r="52" spans="1:12" x14ac:dyDescent="0.25">
      <c r="A52">
        <v>1753</v>
      </c>
      <c r="B52" t="s">
        <v>67</v>
      </c>
      <c r="C52" t="s">
        <v>58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1753</v>
      </c>
      <c r="B53" t="s">
        <v>57</v>
      </c>
      <c r="C53" t="s">
        <v>58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1753</v>
      </c>
      <c r="B54" t="s">
        <v>59</v>
      </c>
      <c r="C54" t="s">
        <v>58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1753</v>
      </c>
      <c r="B55" t="s">
        <v>38</v>
      </c>
      <c r="C55" t="s">
        <v>58</v>
      </c>
      <c r="D55" t="s">
        <v>35</v>
      </c>
      <c r="H55">
        <v>47</v>
      </c>
      <c r="J55">
        <f t="shared" si="0"/>
        <v>47</v>
      </c>
      <c r="L55">
        <f t="shared" si="1"/>
        <v>2.0982142857142855E-2</v>
      </c>
    </row>
    <row r="56" spans="1:12" x14ac:dyDescent="0.25">
      <c r="A56">
        <v>1753</v>
      </c>
      <c r="B56" t="s">
        <v>4</v>
      </c>
      <c r="C56" t="s">
        <v>58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1753</v>
      </c>
      <c r="B57" t="s">
        <v>60</v>
      </c>
      <c r="C57" t="s">
        <v>58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1753</v>
      </c>
      <c r="B58" t="s">
        <v>97</v>
      </c>
      <c r="C58" t="s">
        <v>58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1753</v>
      </c>
      <c r="B59" t="s">
        <v>45</v>
      </c>
      <c r="C59" t="s">
        <v>58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1753</v>
      </c>
      <c r="B60" t="s">
        <v>5</v>
      </c>
      <c r="C60" t="s">
        <v>58</v>
      </c>
      <c r="D60" t="s">
        <v>35</v>
      </c>
      <c r="F60">
        <v>49</v>
      </c>
      <c r="G60">
        <v>3</v>
      </c>
      <c r="H60">
        <v>8</v>
      </c>
      <c r="J60">
        <f t="shared" si="0"/>
        <v>5580</v>
      </c>
      <c r="L60">
        <f t="shared" si="1"/>
        <v>2.4910714285714284</v>
      </c>
    </row>
    <row r="61" spans="1:12" x14ac:dyDescent="0.25">
      <c r="A61">
        <v>1753</v>
      </c>
      <c r="B61" t="s">
        <v>61</v>
      </c>
      <c r="C61" t="s">
        <v>58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1753</v>
      </c>
      <c r="B62" t="s">
        <v>6</v>
      </c>
      <c r="C62" t="s">
        <v>58</v>
      </c>
      <c r="D62" t="s">
        <v>35</v>
      </c>
      <c r="F62">
        <v>63804</v>
      </c>
      <c r="H62">
        <v>8</v>
      </c>
      <c r="J62">
        <f t="shared" si="0"/>
        <v>7146056</v>
      </c>
      <c r="L62">
        <f t="shared" si="1"/>
        <v>3190.2035714285716</v>
      </c>
    </row>
    <row r="63" spans="1:12" x14ac:dyDescent="0.25">
      <c r="A63">
        <v>1753</v>
      </c>
      <c r="B63" t="s">
        <v>62</v>
      </c>
      <c r="C63" t="s">
        <v>58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1753</v>
      </c>
      <c r="B64" t="s">
        <v>40</v>
      </c>
      <c r="C64" t="s">
        <v>58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1753</v>
      </c>
      <c r="B65" t="s">
        <v>39</v>
      </c>
      <c r="C65" t="s">
        <v>58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1753</v>
      </c>
      <c r="B66" t="s">
        <v>8</v>
      </c>
      <c r="C66" t="s">
        <v>58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1753</v>
      </c>
      <c r="B67" t="s">
        <v>42</v>
      </c>
      <c r="C67" t="s">
        <v>58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1753</v>
      </c>
      <c r="B68" t="s">
        <v>9</v>
      </c>
      <c r="C68" t="s">
        <v>58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1753</v>
      </c>
      <c r="B69" t="s">
        <v>10</v>
      </c>
      <c r="C69" t="s">
        <v>58</v>
      </c>
      <c r="D69" t="s">
        <v>35</v>
      </c>
      <c r="F69">
        <v>2586</v>
      </c>
      <c r="H69">
        <v>9</v>
      </c>
      <c r="J69">
        <f t="shared" si="0"/>
        <v>289641</v>
      </c>
      <c r="L69">
        <f t="shared" si="1"/>
        <v>129.30401785714287</v>
      </c>
    </row>
    <row r="70" spans="1:12" x14ac:dyDescent="0.25">
      <c r="A70">
        <v>1753</v>
      </c>
      <c r="B70" t="s">
        <v>11</v>
      </c>
      <c r="C70" t="s">
        <v>58</v>
      </c>
      <c r="D70" t="s">
        <v>35</v>
      </c>
      <c r="F70">
        <v>277</v>
      </c>
      <c r="G70">
        <v>2</v>
      </c>
      <c r="H70">
        <v>3</v>
      </c>
      <c r="J70">
        <f t="shared" ref="J70:J103" si="2">(E70*2240)+(F70*112)+(G70*28)+H70</f>
        <v>31083</v>
      </c>
      <c r="L70">
        <f t="shared" ref="L70:L103" si="3">J70/2240</f>
        <v>13.876339285714286</v>
      </c>
    </row>
    <row r="71" spans="1:12" x14ac:dyDescent="0.25">
      <c r="A71">
        <v>1753</v>
      </c>
      <c r="B71" t="s">
        <v>41</v>
      </c>
      <c r="C71" t="s">
        <v>58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1753</v>
      </c>
      <c r="B72" t="s">
        <v>82</v>
      </c>
      <c r="C72" t="s">
        <v>58</v>
      </c>
      <c r="D72" t="s">
        <v>35</v>
      </c>
      <c r="H72">
        <v>554</v>
      </c>
      <c r="J72">
        <f t="shared" si="2"/>
        <v>554</v>
      </c>
      <c r="L72">
        <f t="shared" si="3"/>
        <v>0.24732142857142858</v>
      </c>
    </row>
    <row r="73" spans="1:12" x14ac:dyDescent="0.25">
      <c r="A73">
        <v>1753</v>
      </c>
      <c r="B73" t="s">
        <v>46</v>
      </c>
      <c r="C73" t="s">
        <v>58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1753</v>
      </c>
      <c r="B74" t="s">
        <v>12</v>
      </c>
      <c r="C74" t="s">
        <v>58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1753</v>
      </c>
      <c r="B75" t="s">
        <v>34</v>
      </c>
      <c r="C75" t="s">
        <v>58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1753</v>
      </c>
      <c r="B76" t="s">
        <v>13</v>
      </c>
      <c r="C76" t="s">
        <v>58</v>
      </c>
      <c r="D76" t="s">
        <v>35</v>
      </c>
      <c r="E76">
        <v>3</v>
      </c>
      <c r="F76">
        <v>3</v>
      </c>
      <c r="J76">
        <f t="shared" si="2"/>
        <v>7056</v>
      </c>
      <c r="L76">
        <f t="shared" si="3"/>
        <v>3.15</v>
      </c>
    </row>
    <row r="77" spans="1:12" x14ac:dyDescent="0.25">
      <c r="A77">
        <v>1753</v>
      </c>
      <c r="B77" t="s">
        <v>14</v>
      </c>
      <c r="C77" t="s">
        <v>58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1753</v>
      </c>
      <c r="B78" t="s">
        <v>23</v>
      </c>
      <c r="C78" t="s">
        <v>58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1753</v>
      </c>
      <c r="B79" t="s">
        <v>27</v>
      </c>
      <c r="C79" t="s">
        <v>58</v>
      </c>
      <c r="D79" t="s">
        <v>35</v>
      </c>
      <c r="H79">
        <v>25736.5</v>
      </c>
      <c r="I79" t="s">
        <v>141</v>
      </c>
      <c r="J79">
        <f t="shared" si="2"/>
        <v>25736.5</v>
      </c>
      <c r="L79">
        <f t="shared" si="3"/>
        <v>11.489508928571428</v>
      </c>
    </row>
    <row r="80" spans="1:12" x14ac:dyDescent="0.25">
      <c r="A80">
        <v>1753</v>
      </c>
      <c r="B80" t="s">
        <v>15</v>
      </c>
      <c r="C80" t="s">
        <v>58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1753</v>
      </c>
      <c r="B81" t="s">
        <v>98</v>
      </c>
      <c r="C81" t="s">
        <v>58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1753</v>
      </c>
      <c r="B82" t="s">
        <v>44</v>
      </c>
      <c r="C82" t="s">
        <v>58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1753</v>
      </c>
      <c r="B83" t="s">
        <v>49</v>
      </c>
      <c r="C83" t="s">
        <v>58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1753</v>
      </c>
      <c r="B84" t="s">
        <v>16</v>
      </c>
      <c r="C84" t="s">
        <v>58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1753</v>
      </c>
      <c r="B85" t="s">
        <v>17</v>
      </c>
      <c r="C85" t="s">
        <v>58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1753</v>
      </c>
      <c r="B86" t="s">
        <v>18</v>
      </c>
      <c r="C86" t="s">
        <v>58</v>
      </c>
      <c r="D86" t="s">
        <v>35</v>
      </c>
      <c r="H86">
        <v>172804</v>
      </c>
      <c r="I86" t="s">
        <v>140</v>
      </c>
      <c r="J86">
        <f t="shared" si="2"/>
        <v>172804</v>
      </c>
      <c r="L86">
        <f t="shared" si="3"/>
        <v>77.144642857142856</v>
      </c>
    </row>
    <row r="87" spans="1:12" x14ac:dyDescent="0.25">
      <c r="A87">
        <v>1753</v>
      </c>
      <c r="B87" t="s">
        <v>26</v>
      </c>
      <c r="C87" t="s">
        <v>58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1753</v>
      </c>
      <c r="B88" t="s">
        <v>19</v>
      </c>
      <c r="C88" t="s">
        <v>58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1753</v>
      </c>
      <c r="B89" t="s">
        <v>47</v>
      </c>
      <c r="C89" t="s">
        <v>58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1753</v>
      </c>
      <c r="B90" t="s">
        <v>56</v>
      </c>
      <c r="C90" t="s">
        <v>58</v>
      </c>
      <c r="D90" t="s">
        <v>35</v>
      </c>
      <c r="H90">
        <v>182</v>
      </c>
      <c r="J90">
        <f t="shared" si="2"/>
        <v>182</v>
      </c>
      <c r="L90">
        <f t="shared" si="3"/>
        <v>8.1250000000000003E-2</v>
      </c>
    </row>
    <row r="91" spans="1:12" x14ac:dyDescent="0.25">
      <c r="A91">
        <v>1753</v>
      </c>
      <c r="B91" t="s">
        <v>74</v>
      </c>
      <c r="C91" t="s">
        <v>58</v>
      </c>
      <c r="D91" t="s">
        <v>35</v>
      </c>
      <c r="F91">
        <v>1</v>
      </c>
      <c r="G91">
        <v>1</v>
      </c>
      <c r="H91">
        <v>14</v>
      </c>
      <c r="J91">
        <f t="shared" si="2"/>
        <v>154</v>
      </c>
      <c r="L91">
        <f t="shared" si="3"/>
        <v>6.8750000000000006E-2</v>
      </c>
    </row>
    <row r="92" spans="1:12" x14ac:dyDescent="0.25">
      <c r="A92">
        <v>1753</v>
      </c>
      <c r="B92" t="s">
        <v>102</v>
      </c>
      <c r="C92" t="s">
        <v>58</v>
      </c>
      <c r="D92" t="s">
        <v>35</v>
      </c>
      <c r="H92">
        <v>73</v>
      </c>
      <c r="J92">
        <f t="shared" si="2"/>
        <v>73</v>
      </c>
      <c r="L92">
        <f t="shared" si="3"/>
        <v>3.2589285714285716E-2</v>
      </c>
    </row>
    <row r="93" spans="1:12" x14ac:dyDescent="0.25">
      <c r="A93">
        <v>1753</v>
      </c>
      <c r="B93" t="s">
        <v>20</v>
      </c>
      <c r="C93" t="s">
        <v>58</v>
      </c>
      <c r="D93" t="s">
        <v>35</v>
      </c>
      <c r="H93">
        <v>5976</v>
      </c>
      <c r="J93">
        <f t="shared" si="2"/>
        <v>5976</v>
      </c>
      <c r="L93">
        <f t="shared" si="3"/>
        <v>2.6678571428571427</v>
      </c>
    </row>
    <row r="94" spans="1:12" x14ac:dyDescent="0.25">
      <c r="A94">
        <v>1753</v>
      </c>
      <c r="B94" t="s">
        <v>21</v>
      </c>
      <c r="C94" t="s">
        <v>58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1753</v>
      </c>
      <c r="B95" t="s">
        <v>22</v>
      </c>
      <c r="C95" t="s">
        <v>58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1753</v>
      </c>
      <c r="B96" t="s">
        <v>63</v>
      </c>
      <c r="C96" t="s">
        <v>58</v>
      </c>
      <c r="D96" t="s">
        <v>35</v>
      </c>
      <c r="E96">
        <v>29</v>
      </c>
      <c r="F96">
        <v>13</v>
      </c>
      <c r="H96">
        <v>21</v>
      </c>
      <c r="J96">
        <f t="shared" si="2"/>
        <v>66437</v>
      </c>
      <c r="L96">
        <f t="shared" si="3"/>
        <v>29.659375000000001</v>
      </c>
    </row>
    <row r="97" spans="1:12" x14ac:dyDescent="0.25">
      <c r="A97">
        <v>1753</v>
      </c>
      <c r="B97" t="s">
        <v>91</v>
      </c>
      <c r="C97" t="s">
        <v>58</v>
      </c>
      <c r="D97" t="s">
        <v>35</v>
      </c>
      <c r="E97">
        <v>7</v>
      </c>
      <c r="J97">
        <f t="shared" si="2"/>
        <v>15680</v>
      </c>
      <c r="L97">
        <f t="shared" si="3"/>
        <v>7</v>
      </c>
    </row>
    <row r="98" spans="1:12" x14ac:dyDescent="0.25">
      <c r="A98">
        <v>1753</v>
      </c>
      <c r="B98" t="s">
        <v>64</v>
      </c>
      <c r="C98" t="s">
        <v>58</v>
      </c>
      <c r="D98" t="s">
        <v>35</v>
      </c>
      <c r="E98">
        <v>70</v>
      </c>
      <c r="F98">
        <v>16</v>
      </c>
      <c r="G98">
        <v>3</v>
      </c>
      <c r="H98">
        <v>8</v>
      </c>
      <c r="J98">
        <f t="shared" si="2"/>
        <v>158684</v>
      </c>
      <c r="L98">
        <f t="shared" si="3"/>
        <v>70.841071428571425</v>
      </c>
    </row>
    <row r="99" spans="1:12" x14ac:dyDescent="0.25">
      <c r="A99">
        <v>1753</v>
      </c>
      <c r="B99" t="s">
        <v>65</v>
      </c>
      <c r="C99" t="s">
        <v>58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1753</v>
      </c>
      <c r="B100" t="s">
        <v>93</v>
      </c>
      <c r="C100" t="s">
        <v>58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1753</v>
      </c>
      <c r="B101" t="s">
        <v>73</v>
      </c>
      <c r="C101" t="s">
        <v>58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1753</v>
      </c>
      <c r="B102" t="s">
        <v>66</v>
      </c>
      <c r="C102" t="s">
        <v>58</v>
      </c>
      <c r="D102" t="s">
        <v>35</v>
      </c>
      <c r="E102">
        <v>2</v>
      </c>
      <c r="F102">
        <v>4</v>
      </c>
      <c r="G102">
        <v>2</v>
      </c>
      <c r="H102">
        <v>16</v>
      </c>
      <c r="J102">
        <f t="shared" si="2"/>
        <v>5000</v>
      </c>
      <c r="L102">
        <f t="shared" si="3"/>
        <v>2.2321428571428572</v>
      </c>
    </row>
    <row r="103" spans="1:12" x14ac:dyDescent="0.25">
      <c r="A103">
        <v>1753</v>
      </c>
      <c r="B103" t="s">
        <v>67</v>
      </c>
      <c r="C103" t="s">
        <v>58</v>
      </c>
      <c r="D103" t="s">
        <v>35</v>
      </c>
      <c r="J103">
        <f t="shared" si="2"/>
        <v>0</v>
      </c>
      <c r="L103">
        <f t="shared" si="3"/>
        <v>0</v>
      </c>
    </row>
  </sheetData>
  <autoFilter ref="A1:N56" xr:uid="{AAD1F908-12B8-4B3A-A65D-184CD229ACD4}">
    <sortState xmlns:xlrd2="http://schemas.microsoft.com/office/spreadsheetml/2017/richdata2" ref="A2:N56">
      <sortCondition ref="B1:B5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4"/>
  <sheetViews>
    <sheetView workbookViewId="0">
      <selection activeCell="L12" sqref="L12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1753</v>
      </c>
      <c r="B2" t="s">
        <v>68</v>
      </c>
      <c r="C2" t="s">
        <v>69</v>
      </c>
      <c r="D2" t="s">
        <v>33</v>
      </c>
      <c r="J2">
        <f t="shared" ref="J2:J24" si="0">(E2*2240)+(F2*112)+(G2*28)+H2</f>
        <v>0</v>
      </c>
      <c r="L2">
        <f t="shared" ref="L2:L24" si="1">J2/2240</f>
        <v>0</v>
      </c>
    </row>
    <row r="3" spans="1:12" x14ac:dyDescent="0.25">
      <c r="A3">
        <v>1753</v>
      </c>
      <c r="B3" t="s">
        <v>6</v>
      </c>
      <c r="C3" t="s">
        <v>69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1753</v>
      </c>
      <c r="B4" t="s">
        <v>8</v>
      </c>
      <c r="C4" t="s">
        <v>69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1753</v>
      </c>
      <c r="B5" t="s">
        <v>9</v>
      </c>
      <c r="C5" t="s">
        <v>69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1753</v>
      </c>
      <c r="B6" t="s">
        <v>12</v>
      </c>
      <c r="C6" t="s">
        <v>69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1753</v>
      </c>
      <c r="B7" t="s">
        <v>27</v>
      </c>
      <c r="C7" t="s">
        <v>69</v>
      </c>
      <c r="D7" t="s">
        <v>33</v>
      </c>
      <c r="J7">
        <f t="shared" si="0"/>
        <v>0</v>
      </c>
      <c r="K7" s="1"/>
      <c r="L7">
        <f t="shared" si="1"/>
        <v>0</v>
      </c>
    </row>
    <row r="8" spans="1:12" x14ac:dyDescent="0.25">
      <c r="A8">
        <v>1753</v>
      </c>
      <c r="B8" t="s">
        <v>17</v>
      </c>
      <c r="C8" t="s">
        <v>69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1753</v>
      </c>
      <c r="B9" t="s">
        <v>18</v>
      </c>
      <c r="C9" t="s">
        <v>69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1753</v>
      </c>
      <c r="B10" t="s">
        <v>21</v>
      </c>
      <c r="C10" t="s">
        <v>69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1753</v>
      </c>
      <c r="B11" t="s">
        <v>63</v>
      </c>
      <c r="C11" t="s">
        <v>69</v>
      </c>
      <c r="D11" t="s">
        <v>33</v>
      </c>
      <c r="E11">
        <v>50</v>
      </c>
      <c r="J11">
        <f t="shared" si="0"/>
        <v>112000</v>
      </c>
      <c r="L11">
        <f t="shared" si="1"/>
        <v>50</v>
      </c>
    </row>
    <row r="12" spans="1:12" x14ac:dyDescent="0.25">
      <c r="A12">
        <v>1753</v>
      </c>
      <c r="B12" t="s">
        <v>64</v>
      </c>
      <c r="C12" t="s">
        <v>69</v>
      </c>
      <c r="D12" t="s">
        <v>33</v>
      </c>
      <c r="E12">
        <v>2</v>
      </c>
      <c r="J12">
        <f t="shared" si="0"/>
        <v>4480</v>
      </c>
      <c r="L12">
        <f t="shared" si="1"/>
        <v>2</v>
      </c>
    </row>
    <row r="13" spans="1:12" x14ac:dyDescent="0.25">
      <c r="A13">
        <v>1753</v>
      </c>
      <c r="B13" t="s">
        <v>65</v>
      </c>
      <c r="C13" t="s">
        <v>69</v>
      </c>
      <c r="D13" t="s">
        <v>33</v>
      </c>
      <c r="E13">
        <v>5</v>
      </c>
      <c r="J13">
        <f t="shared" si="0"/>
        <v>11200</v>
      </c>
      <c r="L13">
        <f t="shared" si="1"/>
        <v>5</v>
      </c>
    </row>
    <row r="14" spans="1:12" x14ac:dyDescent="0.25">
      <c r="A14">
        <v>1753</v>
      </c>
      <c r="B14" t="s">
        <v>6</v>
      </c>
      <c r="C14" t="s">
        <v>69</v>
      </c>
      <c r="D14" t="s">
        <v>35</v>
      </c>
      <c r="J14">
        <f t="shared" si="0"/>
        <v>0</v>
      </c>
      <c r="L14">
        <f t="shared" si="1"/>
        <v>0</v>
      </c>
    </row>
    <row r="15" spans="1:12" x14ac:dyDescent="0.25">
      <c r="A15">
        <v>1753</v>
      </c>
      <c r="B15" t="s">
        <v>12</v>
      </c>
      <c r="C15" t="s">
        <v>69</v>
      </c>
      <c r="D15" t="s">
        <v>35</v>
      </c>
      <c r="J15">
        <f t="shared" si="0"/>
        <v>0</v>
      </c>
      <c r="L15">
        <f t="shared" si="1"/>
        <v>0</v>
      </c>
    </row>
    <row r="16" spans="1:12" x14ac:dyDescent="0.25">
      <c r="A16">
        <v>1753</v>
      </c>
      <c r="B16" t="s">
        <v>43</v>
      </c>
      <c r="C16" t="s">
        <v>69</v>
      </c>
      <c r="D16" t="s">
        <v>35</v>
      </c>
      <c r="J16">
        <f t="shared" si="0"/>
        <v>0</v>
      </c>
      <c r="L16">
        <f t="shared" si="1"/>
        <v>0</v>
      </c>
    </row>
    <row r="17" spans="1:12" x14ac:dyDescent="0.25">
      <c r="A17">
        <v>1753</v>
      </c>
      <c r="B17" t="s">
        <v>27</v>
      </c>
      <c r="C17" t="s">
        <v>69</v>
      </c>
      <c r="D17" t="s">
        <v>35</v>
      </c>
      <c r="J17">
        <f t="shared" si="0"/>
        <v>0</v>
      </c>
      <c r="L17">
        <f t="shared" si="1"/>
        <v>0</v>
      </c>
    </row>
    <row r="18" spans="1:12" x14ac:dyDescent="0.25">
      <c r="A18">
        <v>1753</v>
      </c>
      <c r="B18" t="s">
        <v>17</v>
      </c>
      <c r="C18" t="s">
        <v>69</v>
      </c>
      <c r="D18" t="s">
        <v>35</v>
      </c>
      <c r="J18">
        <f t="shared" si="0"/>
        <v>0</v>
      </c>
      <c r="L18">
        <f t="shared" si="1"/>
        <v>0</v>
      </c>
    </row>
    <row r="19" spans="1:12" x14ac:dyDescent="0.25">
      <c r="A19">
        <v>1753</v>
      </c>
      <c r="B19" t="s">
        <v>19</v>
      </c>
      <c r="C19" t="s">
        <v>69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1753</v>
      </c>
      <c r="B20" t="s">
        <v>56</v>
      </c>
      <c r="C20" t="s">
        <v>69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1753</v>
      </c>
      <c r="B21" t="s">
        <v>9</v>
      </c>
      <c r="C21" t="s">
        <v>69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1753</v>
      </c>
      <c r="B22" t="s">
        <v>8</v>
      </c>
      <c r="C22" t="s">
        <v>69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1753</v>
      </c>
      <c r="B23" t="s">
        <v>63</v>
      </c>
      <c r="C23" t="s">
        <v>69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1753</v>
      </c>
      <c r="B24" t="s">
        <v>65</v>
      </c>
      <c r="C24" t="s">
        <v>69</v>
      </c>
      <c r="D24" t="s">
        <v>35</v>
      </c>
      <c r="J24">
        <f t="shared" si="0"/>
        <v>0</v>
      </c>
      <c r="L24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26"/>
  <sheetViews>
    <sheetView topLeftCell="A50" zoomScaleNormal="100" workbookViewId="0">
      <selection activeCell="H84" sqref="H8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1753</v>
      </c>
      <c r="B2" t="s">
        <v>57</v>
      </c>
      <c r="C2" t="s">
        <v>70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1753</v>
      </c>
      <c r="B3" t="s">
        <v>59</v>
      </c>
      <c r="C3" t="s">
        <v>70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1753</v>
      </c>
      <c r="B4" t="s">
        <v>38</v>
      </c>
      <c r="C4" t="s">
        <v>70</v>
      </c>
      <c r="D4" t="s">
        <v>33</v>
      </c>
      <c r="H4">
        <v>40</v>
      </c>
      <c r="J4">
        <f t="shared" si="0"/>
        <v>40</v>
      </c>
      <c r="L4">
        <f t="shared" si="1"/>
        <v>1.7857142857142856E-2</v>
      </c>
    </row>
    <row r="5" spans="1:12" x14ac:dyDescent="0.25">
      <c r="A5">
        <v>1753</v>
      </c>
      <c r="B5" t="s">
        <v>4</v>
      </c>
      <c r="C5" t="s">
        <v>70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1753</v>
      </c>
      <c r="B6" t="s">
        <v>60</v>
      </c>
      <c r="C6" t="s">
        <v>70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1753</v>
      </c>
      <c r="B7" t="s">
        <v>71</v>
      </c>
      <c r="C7" t="s">
        <v>70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1753</v>
      </c>
      <c r="B8" t="s">
        <v>45</v>
      </c>
      <c r="C8" t="s">
        <v>70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1753</v>
      </c>
      <c r="B9" t="s">
        <v>79</v>
      </c>
      <c r="C9" t="s">
        <v>70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1753</v>
      </c>
      <c r="B10" t="s">
        <v>5</v>
      </c>
      <c r="C10" t="s">
        <v>70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1753</v>
      </c>
      <c r="B11" t="s">
        <v>61</v>
      </c>
      <c r="C11" t="s">
        <v>70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1753</v>
      </c>
      <c r="B12" t="s">
        <v>6</v>
      </c>
      <c r="C12" t="s">
        <v>70</v>
      </c>
      <c r="D12" t="s">
        <v>33</v>
      </c>
      <c r="F12">
        <v>280965</v>
      </c>
      <c r="G12">
        <v>2</v>
      </c>
      <c r="H12">
        <v>18</v>
      </c>
      <c r="J12">
        <f t="shared" si="0"/>
        <v>31468154</v>
      </c>
      <c r="L12">
        <f t="shared" si="1"/>
        <v>14048.283035714287</v>
      </c>
    </row>
    <row r="13" spans="1:12" x14ac:dyDescent="0.25">
      <c r="A13">
        <v>1753</v>
      </c>
      <c r="B13" t="s">
        <v>103</v>
      </c>
      <c r="C13" t="s">
        <v>70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1753</v>
      </c>
      <c r="B14" t="s">
        <v>62</v>
      </c>
      <c r="C14" t="s">
        <v>70</v>
      </c>
      <c r="D14" t="s">
        <v>33</v>
      </c>
      <c r="H14">
        <v>210</v>
      </c>
      <c r="J14">
        <f t="shared" si="0"/>
        <v>210</v>
      </c>
      <c r="L14">
        <f t="shared" si="1"/>
        <v>9.375E-2</v>
      </c>
    </row>
    <row r="15" spans="1:12" x14ac:dyDescent="0.25">
      <c r="A15">
        <v>1753</v>
      </c>
      <c r="B15" t="s">
        <v>40</v>
      </c>
      <c r="C15" t="s">
        <v>70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1753</v>
      </c>
      <c r="B16" t="s">
        <v>39</v>
      </c>
      <c r="C16" t="s">
        <v>70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1753</v>
      </c>
      <c r="B17" t="s">
        <v>8</v>
      </c>
      <c r="C17" t="s">
        <v>70</v>
      </c>
      <c r="D17" t="s">
        <v>33</v>
      </c>
      <c r="F17">
        <v>325</v>
      </c>
      <c r="H17">
        <v>14</v>
      </c>
      <c r="J17">
        <f t="shared" si="0"/>
        <v>36414</v>
      </c>
      <c r="L17">
        <f t="shared" si="1"/>
        <v>16.256250000000001</v>
      </c>
    </row>
    <row r="18" spans="1:12" x14ac:dyDescent="0.25">
      <c r="A18">
        <v>1753</v>
      </c>
      <c r="B18" t="s">
        <v>42</v>
      </c>
      <c r="C18" t="s">
        <v>70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1753</v>
      </c>
      <c r="B19" t="s">
        <v>80</v>
      </c>
      <c r="C19" t="s">
        <v>70</v>
      </c>
      <c r="D19" t="s">
        <v>33</v>
      </c>
      <c r="F19">
        <v>368</v>
      </c>
      <c r="G19">
        <v>3</v>
      </c>
      <c r="J19">
        <f t="shared" si="0"/>
        <v>41300</v>
      </c>
      <c r="L19">
        <f t="shared" si="1"/>
        <v>18.4375</v>
      </c>
    </row>
    <row r="20" spans="1:12" x14ac:dyDescent="0.25">
      <c r="A20">
        <v>1753</v>
      </c>
      <c r="B20" t="s">
        <v>81</v>
      </c>
      <c r="C20" t="s">
        <v>70</v>
      </c>
      <c r="D20" t="s">
        <v>33</v>
      </c>
      <c r="H20">
        <v>93918</v>
      </c>
      <c r="J20">
        <f t="shared" si="0"/>
        <v>93918</v>
      </c>
      <c r="L20">
        <f t="shared" si="1"/>
        <v>41.927678571428572</v>
      </c>
    </row>
    <row r="21" spans="1:12" x14ac:dyDescent="0.25">
      <c r="A21">
        <v>1753</v>
      </c>
      <c r="B21" t="s">
        <v>48</v>
      </c>
      <c r="C21" t="s">
        <v>70</v>
      </c>
      <c r="D21" t="s">
        <v>33</v>
      </c>
      <c r="H21">
        <v>795</v>
      </c>
      <c r="J21">
        <f t="shared" si="0"/>
        <v>795</v>
      </c>
      <c r="L21">
        <f t="shared" si="1"/>
        <v>0.3549107142857143</v>
      </c>
    </row>
    <row r="22" spans="1:12" x14ac:dyDescent="0.25">
      <c r="A22">
        <v>1753</v>
      </c>
      <c r="B22" t="s">
        <v>9</v>
      </c>
      <c r="C22" t="s">
        <v>70</v>
      </c>
      <c r="D22" t="s">
        <v>33</v>
      </c>
      <c r="H22">
        <f>1263.5*200</f>
        <v>252700</v>
      </c>
      <c r="I22" t="s">
        <v>120</v>
      </c>
      <c r="J22">
        <f t="shared" si="0"/>
        <v>252700</v>
      </c>
      <c r="L22">
        <f t="shared" si="1"/>
        <v>112.8125</v>
      </c>
    </row>
    <row r="23" spans="1:12" x14ac:dyDescent="0.25">
      <c r="A23">
        <v>1753</v>
      </c>
      <c r="B23" t="s">
        <v>10</v>
      </c>
      <c r="C23" t="s">
        <v>70</v>
      </c>
      <c r="D23" t="s">
        <v>33</v>
      </c>
      <c r="F23">
        <v>19237</v>
      </c>
      <c r="G23">
        <v>1</v>
      </c>
      <c r="H23">
        <v>24</v>
      </c>
      <c r="J23">
        <f t="shared" si="0"/>
        <v>2154596</v>
      </c>
      <c r="L23">
        <f t="shared" si="1"/>
        <v>961.87321428571431</v>
      </c>
    </row>
    <row r="24" spans="1:12" x14ac:dyDescent="0.25">
      <c r="A24">
        <v>1753</v>
      </c>
      <c r="B24" t="s">
        <v>11</v>
      </c>
      <c r="C24" t="s">
        <v>70</v>
      </c>
      <c r="D24" t="s">
        <v>33</v>
      </c>
      <c r="F24">
        <v>29</v>
      </c>
      <c r="G24">
        <v>3</v>
      </c>
      <c r="H24">
        <v>21</v>
      </c>
      <c r="J24">
        <f t="shared" si="0"/>
        <v>3353</v>
      </c>
      <c r="L24">
        <f t="shared" si="1"/>
        <v>1.496875</v>
      </c>
    </row>
    <row r="25" spans="1:12" x14ac:dyDescent="0.25">
      <c r="A25">
        <v>1753</v>
      </c>
      <c r="B25" t="s">
        <v>41</v>
      </c>
      <c r="C25" t="s">
        <v>70</v>
      </c>
      <c r="D25" t="s">
        <v>33</v>
      </c>
      <c r="H25">
        <v>254</v>
      </c>
      <c r="J25">
        <f t="shared" si="0"/>
        <v>254</v>
      </c>
      <c r="L25">
        <f t="shared" si="1"/>
        <v>0.11339285714285714</v>
      </c>
    </row>
    <row r="26" spans="1:12" x14ac:dyDescent="0.25">
      <c r="A26">
        <v>1753</v>
      </c>
      <c r="B26" t="s">
        <v>82</v>
      </c>
      <c r="C26" t="s">
        <v>70</v>
      </c>
      <c r="D26" t="s">
        <v>33</v>
      </c>
      <c r="H26">
        <v>394</v>
      </c>
      <c r="J26">
        <f t="shared" si="0"/>
        <v>394</v>
      </c>
      <c r="L26">
        <f t="shared" si="1"/>
        <v>0.17589285714285716</v>
      </c>
    </row>
    <row r="27" spans="1:12" x14ac:dyDescent="0.25">
      <c r="A27">
        <v>1753</v>
      </c>
      <c r="B27" t="s">
        <v>83</v>
      </c>
      <c r="C27" t="s">
        <v>70</v>
      </c>
      <c r="D27" t="s">
        <v>33</v>
      </c>
      <c r="H27">
        <v>3712</v>
      </c>
      <c r="J27">
        <f t="shared" si="0"/>
        <v>3712</v>
      </c>
      <c r="L27">
        <f t="shared" si="1"/>
        <v>1.6571428571428573</v>
      </c>
    </row>
    <row r="28" spans="1:12" x14ac:dyDescent="0.25">
      <c r="A28">
        <v>1753</v>
      </c>
      <c r="B28" t="s">
        <v>46</v>
      </c>
      <c r="C28" t="s">
        <v>70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1753</v>
      </c>
      <c r="B29" t="s">
        <v>104</v>
      </c>
      <c r="C29" t="s">
        <v>70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1753</v>
      </c>
      <c r="B30" t="s">
        <v>12</v>
      </c>
      <c r="C30" t="s">
        <v>70</v>
      </c>
      <c r="D30" t="s">
        <v>33</v>
      </c>
      <c r="H30">
        <v>21803</v>
      </c>
      <c r="J30">
        <f t="shared" si="0"/>
        <v>21803</v>
      </c>
      <c r="L30">
        <f t="shared" si="1"/>
        <v>9.7334821428571434</v>
      </c>
    </row>
    <row r="31" spans="1:12" x14ac:dyDescent="0.25">
      <c r="A31">
        <v>1753</v>
      </c>
      <c r="B31" t="s">
        <v>116</v>
      </c>
      <c r="C31" t="s">
        <v>70</v>
      </c>
      <c r="D31" t="s">
        <v>33</v>
      </c>
      <c r="H31">
        <v>1652</v>
      </c>
      <c r="J31">
        <f t="shared" si="0"/>
        <v>1652</v>
      </c>
      <c r="L31">
        <f t="shared" si="1"/>
        <v>0.73750000000000004</v>
      </c>
    </row>
    <row r="32" spans="1:12" x14ac:dyDescent="0.25">
      <c r="A32">
        <v>1753</v>
      </c>
      <c r="B32" t="s">
        <v>34</v>
      </c>
      <c r="C32" t="s">
        <v>70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1753</v>
      </c>
      <c r="B33" t="s">
        <v>13</v>
      </c>
      <c r="C33" t="s">
        <v>70</v>
      </c>
      <c r="D33" t="s">
        <v>33</v>
      </c>
      <c r="E33">
        <v>164</v>
      </c>
      <c r="F33">
        <v>3</v>
      </c>
      <c r="G33">
        <v>2</v>
      </c>
      <c r="H33">
        <v>7</v>
      </c>
      <c r="J33">
        <f t="shared" si="0"/>
        <v>367759</v>
      </c>
      <c r="L33">
        <f t="shared" si="1"/>
        <v>164.17812499999999</v>
      </c>
    </row>
    <row r="34" spans="1:12" x14ac:dyDescent="0.25">
      <c r="A34">
        <v>1753</v>
      </c>
      <c r="B34" t="s">
        <v>14</v>
      </c>
      <c r="C34" t="s">
        <v>70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1753</v>
      </c>
      <c r="B35" t="s">
        <v>23</v>
      </c>
      <c r="C35" t="s">
        <v>70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1753</v>
      </c>
      <c r="B36" t="s">
        <v>27</v>
      </c>
      <c r="C36" t="s">
        <v>70</v>
      </c>
      <c r="D36" t="s">
        <v>33</v>
      </c>
      <c r="H36">
        <v>168763</v>
      </c>
      <c r="I36" t="s">
        <v>119</v>
      </c>
      <c r="J36">
        <f t="shared" si="0"/>
        <v>168763</v>
      </c>
      <c r="L36">
        <f t="shared" si="1"/>
        <v>75.340625000000003</v>
      </c>
    </row>
    <row r="37" spans="1:12" x14ac:dyDescent="0.25">
      <c r="A37">
        <v>1753</v>
      </c>
      <c r="B37" t="s">
        <v>15</v>
      </c>
      <c r="C37" t="s">
        <v>70</v>
      </c>
      <c r="D37" t="s">
        <v>33</v>
      </c>
      <c r="F37">
        <v>3</v>
      </c>
      <c r="G37">
        <v>2</v>
      </c>
      <c r="J37">
        <f t="shared" si="0"/>
        <v>392</v>
      </c>
      <c r="L37">
        <f t="shared" si="1"/>
        <v>0.17499999999999999</v>
      </c>
    </row>
    <row r="38" spans="1:12" x14ac:dyDescent="0.25">
      <c r="A38">
        <v>1753</v>
      </c>
      <c r="B38" t="s">
        <v>44</v>
      </c>
      <c r="C38" t="s">
        <v>70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1753</v>
      </c>
      <c r="B39" t="s">
        <v>87</v>
      </c>
      <c r="C39" t="s">
        <v>70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1753</v>
      </c>
      <c r="B40" t="s">
        <v>49</v>
      </c>
      <c r="C40" t="s">
        <v>70</v>
      </c>
      <c r="D40" t="s">
        <v>33</v>
      </c>
      <c r="H40">
        <v>105</v>
      </c>
      <c r="I40" t="s">
        <v>117</v>
      </c>
      <c r="J40">
        <f t="shared" si="0"/>
        <v>105</v>
      </c>
      <c r="L40">
        <f t="shared" si="1"/>
        <v>4.6875E-2</v>
      </c>
    </row>
    <row r="41" spans="1:12" x14ac:dyDescent="0.25">
      <c r="A41">
        <v>1753</v>
      </c>
      <c r="B41" t="s">
        <v>16</v>
      </c>
      <c r="C41" t="s">
        <v>70</v>
      </c>
      <c r="D41" t="s">
        <v>33</v>
      </c>
      <c r="H41">
        <v>723954</v>
      </c>
      <c r="J41">
        <f t="shared" si="0"/>
        <v>723954</v>
      </c>
      <c r="L41">
        <f t="shared" si="1"/>
        <v>323.19375000000002</v>
      </c>
    </row>
    <row r="42" spans="1:12" x14ac:dyDescent="0.25">
      <c r="A42">
        <v>1753</v>
      </c>
      <c r="B42" t="s">
        <v>17</v>
      </c>
      <c r="C42" t="s">
        <v>70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1753</v>
      </c>
      <c r="B43" t="s">
        <v>18</v>
      </c>
      <c r="C43" t="s">
        <v>70</v>
      </c>
      <c r="D43" t="s">
        <v>33</v>
      </c>
      <c r="H43">
        <v>5100520</v>
      </c>
      <c r="I43" t="s">
        <v>118</v>
      </c>
      <c r="J43">
        <f t="shared" si="0"/>
        <v>5100520</v>
      </c>
      <c r="L43">
        <f t="shared" si="1"/>
        <v>2277.0178571428573</v>
      </c>
    </row>
    <row r="44" spans="1:12" x14ac:dyDescent="0.25">
      <c r="A44">
        <v>1753</v>
      </c>
      <c r="B44" t="s">
        <v>26</v>
      </c>
      <c r="C44" t="s">
        <v>70</v>
      </c>
      <c r="D44" t="s">
        <v>33</v>
      </c>
      <c r="H44">
        <v>55951</v>
      </c>
      <c r="J44">
        <f t="shared" si="0"/>
        <v>55951</v>
      </c>
      <c r="L44">
        <f t="shared" si="1"/>
        <v>24.978124999999999</v>
      </c>
    </row>
    <row r="45" spans="1:12" x14ac:dyDescent="0.25">
      <c r="A45">
        <v>1753</v>
      </c>
      <c r="B45" t="s">
        <v>88</v>
      </c>
      <c r="C45" t="s">
        <v>70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1753</v>
      </c>
      <c r="B46" t="s">
        <v>19</v>
      </c>
      <c r="C46" t="s">
        <v>70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1753</v>
      </c>
      <c r="B47" t="s">
        <v>47</v>
      </c>
      <c r="C47" t="s">
        <v>70</v>
      </c>
      <c r="D47" t="s">
        <v>33</v>
      </c>
      <c r="H47">
        <v>116</v>
      </c>
      <c r="J47">
        <f t="shared" si="0"/>
        <v>116</v>
      </c>
      <c r="L47">
        <f t="shared" si="1"/>
        <v>5.1785714285714289E-2</v>
      </c>
    </row>
    <row r="48" spans="1:12" x14ac:dyDescent="0.25">
      <c r="A48">
        <v>1753</v>
      </c>
      <c r="B48" t="s">
        <v>89</v>
      </c>
      <c r="C48" t="s">
        <v>70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1753</v>
      </c>
      <c r="B49" t="s">
        <v>56</v>
      </c>
      <c r="C49" t="s">
        <v>70</v>
      </c>
      <c r="D49" t="s">
        <v>33</v>
      </c>
      <c r="H49">
        <v>957</v>
      </c>
      <c r="J49">
        <f t="shared" si="0"/>
        <v>957</v>
      </c>
      <c r="L49">
        <f t="shared" si="1"/>
        <v>0.42723214285714284</v>
      </c>
    </row>
    <row r="50" spans="1:12" x14ac:dyDescent="0.25">
      <c r="A50">
        <v>1753</v>
      </c>
      <c r="B50" t="s">
        <v>102</v>
      </c>
      <c r="C50" t="s">
        <v>70</v>
      </c>
      <c r="D50" t="s">
        <v>33</v>
      </c>
      <c r="H50">
        <v>1580</v>
      </c>
      <c r="J50">
        <f t="shared" si="0"/>
        <v>1580</v>
      </c>
      <c r="L50">
        <f t="shared" si="1"/>
        <v>0.7053571428571429</v>
      </c>
    </row>
    <row r="51" spans="1:12" x14ac:dyDescent="0.25">
      <c r="A51">
        <v>1753</v>
      </c>
      <c r="B51" t="s">
        <v>20</v>
      </c>
      <c r="C51" t="s">
        <v>70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1753</v>
      </c>
      <c r="B52" t="s">
        <v>21</v>
      </c>
      <c r="C52" t="s">
        <v>70</v>
      </c>
      <c r="D52" t="s">
        <v>33</v>
      </c>
      <c r="H52">
        <v>4396</v>
      </c>
      <c r="J52">
        <f t="shared" si="0"/>
        <v>4396</v>
      </c>
      <c r="L52">
        <f t="shared" si="1"/>
        <v>1.9624999999999999</v>
      </c>
    </row>
    <row r="53" spans="1:12" x14ac:dyDescent="0.25">
      <c r="A53">
        <v>1753</v>
      </c>
      <c r="B53" t="s">
        <v>22</v>
      </c>
      <c r="C53" t="s">
        <v>70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1753</v>
      </c>
      <c r="B54" t="s">
        <v>63</v>
      </c>
      <c r="C54" t="s">
        <v>70</v>
      </c>
      <c r="D54" t="s">
        <v>33</v>
      </c>
      <c r="E54">
        <v>111</v>
      </c>
      <c r="F54">
        <v>11</v>
      </c>
      <c r="G54">
        <v>3</v>
      </c>
      <c r="H54">
        <v>14</v>
      </c>
      <c r="J54">
        <f t="shared" si="0"/>
        <v>249970</v>
      </c>
      <c r="L54">
        <f t="shared" si="1"/>
        <v>111.59375</v>
      </c>
    </row>
    <row r="55" spans="1:12" x14ac:dyDescent="0.25">
      <c r="A55">
        <v>1753</v>
      </c>
      <c r="B55" t="s">
        <v>105</v>
      </c>
      <c r="C55" t="s">
        <v>70</v>
      </c>
      <c r="D55" t="s">
        <v>33</v>
      </c>
      <c r="E55">
        <v>20</v>
      </c>
      <c r="J55">
        <f t="shared" si="0"/>
        <v>44800</v>
      </c>
      <c r="L55">
        <f t="shared" si="1"/>
        <v>20</v>
      </c>
    </row>
    <row r="56" spans="1:12" x14ac:dyDescent="0.25">
      <c r="A56">
        <v>1753</v>
      </c>
      <c r="B56" t="s">
        <v>91</v>
      </c>
      <c r="C56" t="s">
        <v>70</v>
      </c>
      <c r="D56" t="s">
        <v>33</v>
      </c>
      <c r="E56">
        <v>255</v>
      </c>
      <c r="F56">
        <v>3</v>
      </c>
      <c r="H56">
        <v>24</v>
      </c>
      <c r="J56">
        <f t="shared" si="0"/>
        <v>571560</v>
      </c>
      <c r="L56">
        <f t="shared" si="1"/>
        <v>255.16071428571428</v>
      </c>
    </row>
    <row r="57" spans="1:12" x14ac:dyDescent="0.25">
      <c r="A57">
        <v>1753</v>
      </c>
      <c r="B57" t="s">
        <v>64</v>
      </c>
      <c r="C57" t="s">
        <v>70</v>
      </c>
      <c r="D57" t="s">
        <v>33</v>
      </c>
      <c r="E57">
        <v>360</v>
      </c>
      <c r="F57">
        <v>6</v>
      </c>
      <c r="G57">
        <v>3</v>
      </c>
      <c r="J57">
        <f t="shared" si="0"/>
        <v>807156</v>
      </c>
      <c r="L57">
        <f t="shared" si="1"/>
        <v>360.33749999999998</v>
      </c>
    </row>
    <row r="58" spans="1:12" x14ac:dyDescent="0.25">
      <c r="A58">
        <v>1753</v>
      </c>
      <c r="B58" t="s">
        <v>92</v>
      </c>
      <c r="C58" t="s">
        <v>70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1753</v>
      </c>
      <c r="B59" t="s">
        <v>65</v>
      </c>
      <c r="C59" t="s">
        <v>70</v>
      </c>
      <c r="D59" t="s">
        <v>33</v>
      </c>
      <c r="E59">
        <v>1034</v>
      </c>
      <c r="F59">
        <v>17</v>
      </c>
      <c r="G59">
        <v>2</v>
      </c>
      <c r="J59">
        <f t="shared" si="0"/>
        <v>2318120</v>
      </c>
      <c r="L59">
        <f t="shared" si="1"/>
        <v>1034.875</v>
      </c>
    </row>
    <row r="60" spans="1:12" x14ac:dyDescent="0.25">
      <c r="A60">
        <v>1753</v>
      </c>
      <c r="B60" t="s">
        <v>93</v>
      </c>
      <c r="C60" t="s">
        <v>70</v>
      </c>
      <c r="D60" t="s">
        <v>33</v>
      </c>
      <c r="E60">
        <v>1751</v>
      </c>
      <c r="J60">
        <f t="shared" si="0"/>
        <v>3922240</v>
      </c>
      <c r="L60">
        <f t="shared" si="1"/>
        <v>1751</v>
      </c>
    </row>
    <row r="61" spans="1:12" x14ac:dyDescent="0.25">
      <c r="A61">
        <v>1753</v>
      </c>
      <c r="B61" t="s">
        <v>73</v>
      </c>
      <c r="C61" t="s">
        <v>70</v>
      </c>
      <c r="D61" t="s">
        <v>33</v>
      </c>
      <c r="E61">
        <v>175</v>
      </c>
      <c r="F61">
        <v>14</v>
      </c>
      <c r="G61">
        <v>2</v>
      </c>
      <c r="J61">
        <f t="shared" si="0"/>
        <v>393624</v>
      </c>
      <c r="L61">
        <f t="shared" si="1"/>
        <v>175.72499999999999</v>
      </c>
    </row>
    <row r="62" spans="1:12" x14ac:dyDescent="0.25">
      <c r="A62">
        <v>1753</v>
      </c>
      <c r="B62" t="s">
        <v>66</v>
      </c>
      <c r="C62" t="s">
        <v>70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1753</v>
      </c>
      <c r="B63" t="s">
        <v>67</v>
      </c>
      <c r="C63" t="s">
        <v>70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1753</v>
      </c>
      <c r="B64" t="s">
        <v>57</v>
      </c>
      <c r="C64" t="s">
        <v>70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1753</v>
      </c>
      <c r="B65" t="s">
        <v>59</v>
      </c>
      <c r="C65" t="s">
        <v>70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1753</v>
      </c>
      <c r="B66" t="s">
        <v>38</v>
      </c>
      <c r="C66" t="s">
        <v>70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1753</v>
      </c>
      <c r="B67" t="s">
        <v>4</v>
      </c>
      <c r="C67" t="s">
        <v>70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1753</v>
      </c>
      <c r="B68" t="s">
        <v>60</v>
      </c>
      <c r="C68" t="s">
        <v>70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1753</v>
      </c>
      <c r="B69" t="s">
        <v>71</v>
      </c>
      <c r="C69" t="s">
        <v>70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1753</v>
      </c>
      <c r="B70" t="s">
        <v>45</v>
      </c>
      <c r="C70" t="s">
        <v>70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1753</v>
      </c>
      <c r="B71" t="s">
        <v>79</v>
      </c>
      <c r="C71" t="s">
        <v>70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1753</v>
      </c>
      <c r="B72" t="s">
        <v>5</v>
      </c>
      <c r="C72" t="s">
        <v>70</v>
      </c>
      <c r="D72" t="s">
        <v>35</v>
      </c>
      <c r="F72">
        <v>9</v>
      </c>
      <c r="G72">
        <v>1</v>
      </c>
      <c r="H72">
        <v>7</v>
      </c>
      <c r="J72">
        <f t="shared" si="2"/>
        <v>1043</v>
      </c>
      <c r="L72">
        <f t="shared" si="3"/>
        <v>0.46562500000000001</v>
      </c>
    </row>
    <row r="73" spans="1:12" x14ac:dyDescent="0.25">
      <c r="A73">
        <v>1753</v>
      </c>
      <c r="B73" t="s">
        <v>61</v>
      </c>
      <c r="C73" t="s">
        <v>70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1753</v>
      </c>
      <c r="B74" t="s">
        <v>6</v>
      </c>
      <c r="C74" t="s">
        <v>70</v>
      </c>
      <c r="D74" t="s">
        <v>35</v>
      </c>
      <c r="F74">
        <v>154204</v>
      </c>
      <c r="G74">
        <v>3</v>
      </c>
      <c r="H74">
        <v>25</v>
      </c>
      <c r="J74">
        <f t="shared" si="2"/>
        <v>17270957</v>
      </c>
      <c r="L74">
        <f t="shared" si="3"/>
        <v>7710.2486607142855</v>
      </c>
    </row>
    <row r="75" spans="1:12" x14ac:dyDescent="0.25">
      <c r="A75">
        <v>1753</v>
      </c>
      <c r="B75" t="s">
        <v>62</v>
      </c>
      <c r="C75" t="s">
        <v>70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1753</v>
      </c>
      <c r="B76" t="s">
        <v>40</v>
      </c>
      <c r="C76" t="s">
        <v>70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1753</v>
      </c>
      <c r="B77" t="s">
        <v>39</v>
      </c>
      <c r="C77" t="s">
        <v>70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1753</v>
      </c>
      <c r="B78" t="s">
        <v>8</v>
      </c>
      <c r="C78" t="s">
        <v>70</v>
      </c>
      <c r="D78" t="s">
        <v>35</v>
      </c>
      <c r="F78">
        <v>23</v>
      </c>
      <c r="G78">
        <v>3</v>
      </c>
      <c r="H78">
        <v>6</v>
      </c>
      <c r="J78">
        <f t="shared" si="2"/>
        <v>2666</v>
      </c>
      <c r="L78">
        <f t="shared" si="3"/>
        <v>1.1901785714285715</v>
      </c>
    </row>
    <row r="79" spans="1:12" x14ac:dyDescent="0.25">
      <c r="A79">
        <v>1753</v>
      </c>
      <c r="B79" t="s">
        <v>42</v>
      </c>
      <c r="C79" t="s">
        <v>70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1753</v>
      </c>
      <c r="B80" t="s">
        <v>80</v>
      </c>
      <c r="C80" t="s">
        <v>70</v>
      </c>
      <c r="D80" t="s">
        <v>35</v>
      </c>
      <c r="F80">
        <v>28</v>
      </c>
      <c r="G80">
        <v>2</v>
      </c>
      <c r="H80">
        <v>21</v>
      </c>
      <c r="J80">
        <f t="shared" si="2"/>
        <v>3213</v>
      </c>
      <c r="L80">
        <f t="shared" si="3"/>
        <v>1.434375</v>
      </c>
    </row>
    <row r="81" spans="1:12" x14ac:dyDescent="0.25">
      <c r="A81">
        <v>1753</v>
      </c>
      <c r="B81" t="s">
        <v>81</v>
      </c>
      <c r="C81" t="s">
        <v>70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1753</v>
      </c>
      <c r="B82" t="s">
        <v>48</v>
      </c>
      <c r="C82" t="s">
        <v>70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1753</v>
      </c>
      <c r="B83" t="s">
        <v>9</v>
      </c>
      <c r="C83" t="s">
        <v>70</v>
      </c>
      <c r="D83" t="s">
        <v>35</v>
      </c>
      <c r="H83">
        <f>2095.5*200</f>
        <v>419100</v>
      </c>
      <c r="I83" t="s">
        <v>145</v>
      </c>
      <c r="J83">
        <f t="shared" si="2"/>
        <v>419100</v>
      </c>
      <c r="L83">
        <f t="shared" si="3"/>
        <v>187.09821428571428</v>
      </c>
    </row>
    <row r="84" spans="1:12" x14ac:dyDescent="0.25">
      <c r="A84">
        <v>1753</v>
      </c>
      <c r="B84" t="s">
        <v>10</v>
      </c>
      <c r="C84" t="s">
        <v>70</v>
      </c>
      <c r="D84" t="s">
        <v>35</v>
      </c>
      <c r="F84">
        <v>11464</v>
      </c>
      <c r="G84">
        <v>3</v>
      </c>
      <c r="J84">
        <f t="shared" si="2"/>
        <v>1284052</v>
      </c>
      <c r="L84">
        <f t="shared" si="3"/>
        <v>573.23749999999995</v>
      </c>
    </row>
    <row r="85" spans="1:12" x14ac:dyDescent="0.25">
      <c r="A85">
        <v>1753</v>
      </c>
      <c r="B85" t="s">
        <v>11</v>
      </c>
      <c r="C85" t="s">
        <v>70</v>
      </c>
      <c r="D85" t="s">
        <v>35</v>
      </c>
      <c r="F85">
        <v>479</v>
      </c>
      <c r="G85">
        <v>2</v>
      </c>
      <c r="J85">
        <f t="shared" si="2"/>
        <v>53704</v>
      </c>
      <c r="L85">
        <f t="shared" si="3"/>
        <v>23.975000000000001</v>
      </c>
    </row>
    <row r="86" spans="1:12" x14ac:dyDescent="0.25">
      <c r="A86">
        <v>1753</v>
      </c>
      <c r="B86" t="s">
        <v>41</v>
      </c>
      <c r="C86" t="s">
        <v>70</v>
      </c>
      <c r="D86" t="s">
        <v>35</v>
      </c>
      <c r="H86">
        <v>33</v>
      </c>
      <c r="J86">
        <f t="shared" si="2"/>
        <v>33</v>
      </c>
      <c r="L86">
        <f t="shared" si="3"/>
        <v>1.4732142857142857E-2</v>
      </c>
    </row>
    <row r="87" spans="1:12" x14ac:dyDescent="0.25">
      <c r="A87">
        <v>1753</v>
      </c>
      <c r="B87" t="s">
        <v>82</v>
      </c>
      <c r="C87" t="s">
        <v>70</v>
      </c>
      <c r="D87" t="s">
        <v>35</v>
      </c>
      <c r="H87">
        <v>9547</v>
      </c>
      <c r="J87">
        <f t="shared" si="2"/>
        <v>9547</v>
      </c>
      <c r="L87">
        <f t="shared" si="3"/>
        <v>4.262053571428571</v>
      </c>
    </row>
    <row r="88" spans="1:12" x14ac:dyDescent="0.25">
      <c r="A88">
        <v>1753</v>
      </c>
      <c r="B88" t="s">
        <v>83</v>
      </c>
      <c r="C88" t="s">
        <v>70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1753</v>
      </c>
      <c r="B89" t="s">
        <v>46</v>
      </c>
      <c r="C89" t="s">
        <v>70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1753</v>
      </c>
      <c r="B90" t="s">
        <v>104</v>
      </c>
      <c r="C90" t="s">
        <v>70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1753</v>
      </c>
      <c r="B91" t="s">
        <v>12</v>
      </c>
      <c r="C91" t="s">
        <v>70</v>
      </c>
      <c r="D91" t="s">
        <v>35</v>
      </c>
      <c r="H91">
        <v>4487</v>
      </c>
      <c r="J91">
        <f t="shared" si="2"/>
        <v>4487</v>
      </c>
      <c r="L91">
        <f t="shared" si="3"/>
        <v>2.0031249999999998</v>
      </c>
    </row>
    <row r="92" spans="1:12" x14ac:dyDescent="0.25">
      <c r="A92">
        <v>1753</v>
      </c>
      <c r="B92" t="s">
        <v>86</v>
      </c>
      <c r="C92" t="s">
        <v>70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1753</v>
      </c>
      <c r="B93" t="s">
        <v>34</v>
      </c>
      <c r="C93" t="s">
        <v>70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1753</v>
      </c>
      <c r="B94" t="s">
        <v>13</v>
      </c>
      <c r="C94" t="s">
        <v>70</v>
      </c>
      <c r="D94" t="s">
        <v>35</v>
      </c>
      <c r="E94">
        <v>66</v>
      </c>
      <c r="F94">
        <v>19</v>
      </c>
      <c r="H94">
        <v>21</v>
      </c>
      <c r="J94">
        <f t="shared" si="2"/>
        <v>149989</v>
      </c>
      <c r="L94">
        <f t="shared" si="3"/>
        <v>66.959374999999994</v>
      </c>
    </row>
    <row r="95" spans="1:12" x14ac:dyDescent="0.25">
      <c r="A95">
        <v>1753</v>
      </c>
      <c r="B95" t="s">
        <v>14</v>
      </c>
      <c r="C95" t="s">
        <v>70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1753</v>
      </c>
      <c r="B96" t="s">
        <v>23</v>
      </c>
      <c r="C96" t="s">
        <v>70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1753</v>
      </c>
      <c r="B97" t="s">
        <v>27</v>
      </c>
      <c r="C97" t="s">
        <v>70</v>
      </c>
      <c r="D97" t="s">
        <v>35</v>
      </c>
      <c r="H97">
        <v>73779</v>
      </c>
      <c r="I97" t="s">
        <v>144</v>
      </c>
      <c r="J97">
        <f t="shared" si="2"/>
        <v>73779</v>
      </c>
      <c r="L97">
        <f t="shared" si="3"/>
        <v>32.937053571428571</v>
      </c>
    </row>
    <row r="98" spans="1:12" x14ac:dyDescent="0.25">
      <c r="A98">
        <v>1753</v>
      </c>
      <c r="B98" t="s">
        <v>15</v>
      </c>
      <c r="C98" t="s">
        <v>70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1753</v>
      </c>
      <c r="B99" t="s">
        <v>98</v>
      </c>
      <c r="C99" t="s">
        <v>70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1753</v>
      </c>
      <c r="B100" t="s">
        <v>44</v>
      </c>
      <c r="C100" t="s">
        <v>70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1753</v>
      </c>
      <c r="B101" t="s">
        <v>87</v>
      </c>
      <c r="C101" t="s">
        <v>70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1753</v>
      </c>
      <c r="B102" t="s">
        <v>49</v>
      </c>
      <c r="C102" t="s">
        <v>70</v>
      </c>
      <c r="D102" t="s">
        <v>35</v>
      </c>
      <c r="H102">
        <v>70</v>
      </c>
      <c r="I102" t="s">
        <v>142</v>
      </c>
      <c r="J102">
        <f t="shared" si="2"/>
        <v>70</v>
      </c>
      <c r="L102">
        <f t="shared" si="3"/>
        <v>3.125E-2</v>
      </c>
    </row>
    <row r="103" spans="1:12" x14ac:dyDescent="0.25">
      <c r="A103">
        <v>1753</v>
      </c>
      <c r="B103" t="s">
        <v>16</v>
      </c>
      <c r="C103" t="s">
        <v>70</v>
      </c>
      <c r="D103" t="s">
        <v>35</v>
      </c>
      <c r="H103">
        <v>603453</v>
      </c>
      <c r="J103">
        <f t="shared" si="2"/>
        <v>603453</v>
      </c>
      <c r="L103">
        <f t="shared" si="3"/>
        <v>269.39866071428571</v>
      </c>
    </row>
    <row r="104" spans="1:12" x14ac:dyDescent="0.25">
      <c r="A104">
        <v>1753</v>
      </c>
      <c r="B104" t="s">
        <v>17</v>
      </c>
      <c r="C104" t="s">
        <v>70</v>
      </c>
      <c r="D104" t="s">
        <v>35</v>
      </c>
      <c r="F104">
        <v>2</v>
      </c>
      <c r="G104">
        <v>1</v>
      </c>
      <c r="H104">
        <v>16</v>
      </c>
      <c r="J104">
        <f t="shared" si="2"/>
        <v>268</v>
      </c>
      <c r="L104">
        <f t="shared" si="3"/>
        <v>0.11964285714285715</v>
      </c>
    </row>
    <row r="105" spans="1:12" x14ac:dyDescent="0.25">
      <c r="A105">
        <v>1753</v>
      </c>
      <c r="B105" t="s">
        <v>18</v>
      </c>
      <c r="C105" t="s">
        <v>70</v>
      </c>
      <c r="D105" t="s">
        <v>35</v>
      </c>
      <c r="H105">
        <v>2094428</v>
      </c>
      <c r="I105" t="s">
        <v>143</v>
      </c>
      <c r="J105">
        <f t="shared" si="2"/>
        <v>2094428</v>
      </c>
      <c r="L105">
        <f t="shared" si="3"/>
        <v>935.01250000000005</v>
      </c>
    </row>
    <row r="106" spans="1:12" x14ac:dyDescent="0.25">
      <c r="A106">
        <v>1753</v>
      </c>
      <c r="B106" t="s">
        <v>26</v>
      </c>
      <c r="C106" t="s">
        <v>70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1753</v>
      </c>
      <c r="B107" t="s">
        <v>88</v>
      </c>
      <c r="C107" t="s">
        <v>70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1753</v>
      </c>
      <c r="B108" t="s">
        <v>19</v>
      </c>
      <c r="C108" t="s">
        <v>70</v>
      </c>
      <c r="D108" t="s">
        <v>35</v>
      </c>
      <c r="F108">
        <v>41</v>
      </c>
      <c r="G108">
        <v>3</v>
      </c>
      <c r="H108">
        <v>4</v>
      </c>
      <c r="J108">
        <f t="shared" si="2"/>
        <v>4680</v>
      </c>
      <c r="L108">
        <f t="shared" si="3"/>
        <v>2.0892857142857144</v>
      </c>
    </row>
    <row r="109" spans="1:12" x14ac:dyDescent="0.25">
      <c r="A109">
        <v>1753</v>
      </c>
      <c r="B109" t="s">
        <v>47</v>
      </c>
      <c r="C109" t="s">
        <v>70</v>
      </c>
      <c r="D109" t="s">
        <v>35</v>
      </c>
      <c r="H109">
        <v>1158</v>
      </c>
      <c r="J109">
        <f t="shared" si="2"/>
        <v>1158</v>
      </c>
      <c r="L109">
        <f t="shared" si="3"/>
        <v>0.51696428571428577</v>
      </c>
    </row>
    <row r="110" spans="1:12" x14ac:dyDescent="0.25">
      <c r="A110">
        <v>1753</v>
      </c>
      <c r="B110" t="s">
        <v>89</v>
      </c>
      <c r="C110" t="s">
        <v>70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1753</v>
      </c>
      <c r="B111" t="s">
        <v>56</v>
      </c>
      <c r="C111" t="s">
        <v>70</v>
      </c>
      <c r="D111" t="s">
        <v>35</v>
      </c>
      <c r="H111">
        <v>522</v>
      </c>
      <c r="J111">
        <f t="shared" si="2"/>
        <v>522</v>
      </c>
      <c r="L111">
        <f t="shared" si="3"/>
        <v>0.23303571428571429</v>
      </c>
    </row>
    <row r="112" spans="1:12" x14ac:dyDescent="0.25">
      <c r="A112">
        <v>1753</v>
      </c>
      <c r="B112" t="s">
        <v>102</v>
      </c>
      <c r="C112" t="s">
        <v>70</v>
      </c>
      <c r="D112" t="s">
        <v>35</v>
      </c>
      <c r="H112">
        <v>96</v>
      </c>
      <c r="J112">
        <f t="shared" si="2"/>
        <v>96</v>
      </c>
      <c r="L112">
        <f t="shared" si="3"/>
        <v>4.2857142857142858E-2</v>
      </c>
    </row>
    <row r="113" spans="1:12" x14ac:dyDescent="0.25">
      <c r="A113">
        <v>1753</v>
      </c>
      <c r="B113" t="s">
        <v>20</v>
      </c>
      <c r="C113" t="s">
        <v>70</v>
      </c>
      <c r="D113" t="s">
        <v>35</v>
      </c>
      <c r="H113">
        <v>642</v>
      </c>
      <c r="J113">
        <f t="shared" si="2"/>
        <v>642</v>
      </c>
      <c r="L113">
        <f t="shared" si="3"/>
        <v>0.28660714285714284</v>
      </c>
    </row>
    <row r="114" spans="1:12" x14ac:dyDescent="0.25">
      <c r="A114">
        <v>1753</v>
      </c>
      <c r="B114" t="s">
        <v>21</v>
      </c>
      <c r="C114" t="s">
        <v>70</v>
      </c>
      <c r="D114" t="s">
        <v>35</v>
      </c>
      <c r="H114">
        <v>1109</v>
      </c>
      <c r="J114">
        <f t="shared" si="2"/>
        <v>1109</v>
      </c>
      <c r="L114">
        <f t="shared" si="3"/>
        <v>0.49508928571428573</v>
      </c>
    </row>
    <row r="115" spans="1:12" x14ac:dyDescent="0.25">
      <c r="A115">
        <v>1753</v>
      </c>
      <c r="B115" t="s">
        <v>22</v>
      </c>
      <c r="C115" t="s">
        <v>70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1753</v>
      </c>
      <c r="B116" t="s">
        <v>63</v>
      </c>
      <c r="C116" t="s">
        <v>70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1753</v>
      </c>
      <c r="B117" t="s">
        <v>96</v>
      </c>
      <c r="C117" t="s">
        <v>70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1753</v>
      </c>
      <c r="B118" t="s">
        <v>105</v>
      </c>
      <c r="C118" t="s">
        <v>70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1753</v>
      </c>
      <c r="B119" t="s">
        <v>91</v>
      </c>
      <c r="C119" t="s">
        <v>70</v>
      </c>
      <c r="D119" t="s">
        <v>35</v>
      </c>
      <c r="E119">
        <v>167</v>
      </c>
      <c r="G119">
        <v>2</v>
      </c>
      <c r="J119">
        <f t="shared" si="2"/>
        <v>374136</v>
      </c>
      <c r="L119">
        <f t="shared" si="3"/>
        <v>167.02500000000001</v>
      </c>
    </row>
    <row r="120" spans="1:12" x14ac:dyDescent="0.25">
      <c r="A120">
        <v>1753</v>
      </c>
      <c r="B120" t="s">
        <v>64</v>
      </c>
      <c r="C120" t="s">
        <v>70</v>
      </c>
      <c r="D120" t="s">
        <v>35</v>
      </c>
      <c r="E120">
        <v>304</v>
      </c>
      <c r="G120">
        <v>2</v>
      </c>
      <c r="H120">
        <v>14</v>
      </c>
      <c r="J120">
        <f t="shared" si="2"/>
        <v>681030</v>
      </c>
      <c r="L120">
        <f t="shared" si="3"/>
        <v>304.03125</v>
      </c>
    </row>
    <row r="121" spans="1:12" x14ac:dyDescent="0.25">
      <c r="A121">
        <v>1753</v>
      </c>
      <c r="B121" t="s">
        <v>92</v>
      </c>
      <c r="C121" t="s">
        <v>70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1753</v>
      </c>
      <c r="B122" t="s">
        <v>65</v>
      </c>
      <c r="C122" t="s">
        <v>70</v>
      </c>
      <c r="D122" t="s">
        <v>35</v>
      </c>
      <c r="E122">
        <v>445</v>
      </c>
      <c r="F122">
        <v>7</v>
      </c>
      <c r="H122">
        <v>14</v>
      </c>
      <c r="J122">
        <f t="shared" si="2"/>
        <v>997598</v>
      </c>
      <c r="L122">
        <f t="shared" si="3"/>
        <v>445.35624999999999</v>
      </c>
    </row>
    <row r="123" spans="1:12" x14ac:dyDescent="0.25">
      <c r="A123">
        <v>1753</v>
      </c>
      <c r="B123" t="s">
        <v>93</v>
      </c>
      <c r="C123" t="s">
        <v>70</v>
      </c>
      <c r="D123" t="s">
        <v>35</v>
      </c>
      <c r="E123">
        <v>353</v>
      </c>
      <c r="F123">
        <v>6</v>
      </c>
      <c r="J123">
        <f t="shared" si="2"/>
        <v>791392</v>
      </c>
      <c r="L123">
        <f t="shared" si="3"/>
        <v>353.3</v>
      </c>
    </row>
    <row r="124" spans="1:12" x14ac:dyDescent="0.25">
      <c r="A124">
        <v>1753</v>
      </c>
      <c r="B124" t="s">
        <v>73</v>
      </c>
      <c r="C124" t="s">
        <v>70</v>
      </c>
      <c r="D124" t="s">
        <v>35</v>
      </c>
      <c r="E124">
        <v>84</v>
      </c>
      <c r="F124">
        <v>1</v>
      </c>
      <c r="G124">
        <v>2</v>
      </c>
      <c r="H124">
        <v>14</v>
      </c>
      <c r="J124">
        <f t="shared" si="2"/>
        <v>188342</v>
      </c>
      <c r="L124">
        <f t="shared" si="3"/>
        <v>84.081249999999997</v>
      </c>
    </row>
    <row r="125" spans="1:12" x14ac:dyDescent="0.25">
      <c r="A125">
        <v>1753</v>
      </c>
      <c r="B125" t="s">
        <v>66</v>
      </c>
      <c r="C125" t="s">
        <v>70</v>
      </c>
      <c r="D125" t="s">
        <v>35</v>
      </c>
      <c r="E125">
        <v>5</v>
      </c>
      <c r="F125">
        <v>10</v>
      </c>
      <c r="J125">
        <f t="shared" si="2"/>
        <v>12320</v>
      </c>
      <c r="L125">
        <f t="shared" si="3"/>
        <v>5.5</v>
      </c>
    </row>
    <row r="126" spans="1:12" x14ac:dyDescent="0.25">
      <c r="A126">
        <v>1753</v>
      </c>
      <c r="B126" t="s">
        <v>67</v>
      </c>
      <c r="C126" t="s">
        <v>70</v>
      </c>
      <c r="D126" t="s">
        <v>35</v>
      </c>
      <c r="J126">
        <f t="shared" si="2"/>
        <v>0</v>
      </c>
      <c r="L126">
        <f t="shared" si="3"/>
        <v>0</v>
      </c>
    </row>
  </sheetData>
  <autoFilter ref="A1:O59" xr:uid="{8C2F7725-5A61-4A1B-A740-CC887BCB0E68}">
    <sortState xmlns:xlrd2="http://schemas.microsoft.com/office/spreadsheetml/2017/richdata2" ref="A2:O59">
      <sortCondition ref="B1:B5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71"/>
  <sheetViews>
    <sheetView topLeftCell="A19" workbookViewId="0">
      <selection activeCell="I19" sqref="I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1753</v>
      </c>
      <c r="B2" t="s">
        <v>57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1753</v>
      </c>
      <c r="B3" t="s">
        <v>59</v>
      </c>
      <c r="C3" t="s">
        <v>75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2" x14ac:dyDescent="0.25">
      <c r="A4">
        <v>1753</v>
      </c>
      <c r="B4" t="s">
        <v>38</v>
      </c>
      <c r="C4" t="s">
        <v>75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1753</v>
      </c>
      <c r="B5" t="s">
        <v>4</v>
      </c>
      <c r="C5" t="s">
        <v>75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1753</v>
      </c>
      <c r="B6" t="s">
        <v>60</v>
      </c>
      <c r="C6" t="s">
        <v>75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1753</v>
      </c>
      <c r="B7" t="s">
        <v>71</v>
      </c>
      <c r="C7" t="s">
        <v>75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1753</v>
      </c>
      <c r="B8" t="s">
        <v>45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1753</v>
      </c>
      <c r="B9" t="s">
        <v>5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1753</v>
      </c>
      <c r="B10" t="s">
        <v>61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1753</v>
      </c>
      <c r="B11" t="s">
        <v>6</v>
      </c>
      <c r="C11" t="s">
        <v>75</v>
      </c>
      <c r="D11" t="s">
        <v>33</v>
      </c>
      <c r="F11">
        <v>41523</v>
      </c>
      <c r="G11">
        <v>1</v>
      </c>
      <c r="H11">
        <v>12</v>
      </c>
      <c r="J11">
        <f t="shared" si="0"/>
        <v>4650616</v>
      </c>
      <c r="L11">
        <f t="shared" si="1"/>
        <v>2076.167857142857</v>
      </c>
    </row>
    <row r="12" spans="1:12" x14ac:dyDescent="0.25">
      <c r="A12">
        <v>1753</v>
      </c>
      <c r="B12" t="s">
        <v>62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1753</v>
      </c>
      <c r="B13" t="s">
        <v>40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1753</v>
      </c>
      <c r="B14" t="s">
        <v>39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1753</v>
      </c>
      <c r="B15" t="s">
        <v>8</v>
      </c>
      <c r="C15" t="s">
        <v>75</v>
      </c>
      <c r="D15" t="s">
        <v>33</v>
      </c>
      <c r="F15">
        <v>4</v>
      </c>
      <c r="G15">
        <v>3</v>
      </c>
      <c r="H15">
        <v>4</v>
      </c>
      <c r="J15">
        <f t="shared" si="0"/>
        <v>536</v>
      </c>
      <c r="L15">
        <f t="shared" si="1"/>
        <v>0.2392857142857143</v>
      </c>
    </row>
    <row r="16" spans="1:12" x14ac:dyDescent="0.25">
      <c r="A16">
        <v>1753</v>
      </c>
      <c r="B16" t="s">
        <v>42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1753</v>
      </c>
      <c r="B17" t="s">
        <v>80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1753</v>
      </c>
      <c r="B18" t="s">
        <v>48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1753</v>
      </c>
      <c r="B19" t="s">
        <v>9</v>
      </c>
      <c r="C19" t="s">
        <v>75</v>
      </c>
      <c r="D19" t="s">
        <v>33</v>
      </c>
      <c r="H19">
        <f>236*200</f>
        <v>47200</v>
      </c>
      <c r="I19" t="s">
        <v>123</v>
      </c>
      <c r="J19">
        <f t="shared" si="0"/>
        <v>47200</v>
      </c>
      <c r="L19">
        <f t="shared" si="1"/>
        <v>21.071428571428573</v>
      </c>
    </row>
    <row r="20" spans="1:12" x14ac:dyDescent="0.25">
      <c r="A20">
        <v>1753</v>
      </c>
      <c r="B20" t="s">
        <v>10</v>
      </c>
      <c r="C20" t="s">
        <v>75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1753</v>
      </c>
      <c r="B21" t="s">
        <v>11</v>
      </c>
      <c r="C21" t="s">
        <v>75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1753</v>
      </c>
      <c r="B22" t="s">
        <v>41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1753</v>
      </c>
      <c r="B23" t="s">
        <v>46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1753</v>
      </c>
      <c r="B24" t="s">
        <v>12</v>
      </c>
      <c r="C24" t="s">
        <v>75</v>
      </c>
      <c r="D24" t="s">
        <v>33</v>
      </c>
      <c r="H24">
        <v>140</v>
      </c>
      <c r="J24">
        <f t="shared" si="0"/>
        <v>140</v>
      </c>
      <c r="L24">
        <f t="shared" si="1"/>
        <v>6.25E-2</v>
      </c>
    </row>
    <row r="25" spans="1:12" x14ac:dyDescent="0.25">
      <c r="A25">
        <v>1753</v>
      </c>
      <c r="B25" t="s">
        <v>34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1753</v>
      </c>
      <c r="B26" t="s">
        <v>13</v>
      </c>
      <c r="C26" t="s">
        <v>75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1753</v>
      </c>
      <c r="B27" t="s">
        <v>14</v>
      </c>
      <c r="C27" t="s">
        <v>75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1753</v>
      </c>
      <c r="B28" t="s">
        <v>23</v>
      </c>
      <c r="C28" t="s">
        <v>75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1753</v>
      </c>
      <c r="B29" t="s">
        <v>27</v>
      </c>
      <c r="C29" t="s">
        <v>75</v>
      </c>
      <c r="D29" t="s">
        <v>33</v>
      </c>
      <c r="H29">
        <v>252125</v>
      </c>
      <c r="I29" t="s">
        <v>122</v>
      </c>
      <c r="J29">
        <f t="shared" si="0"/>
        <v>252125</v>
      </c>
      <c r="L29">
        <f t="shared" si="1"/>
        <v>112.55580357142857</v>
      </c>
    </row>
    <row r="30" spans="1:12" x14ac:dyDescent="0.25">
      <c r="A30">
        <v>1753</v>
      </c>
      <c r="B30" t="s">
        <v>15</v>
      </c>
      <c r="C30" t="s">
        <v>75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1753</v>
      </c>
      <c r="B31" t="s">
        <v>44</v>
      </c>
      <c r="C31" t="s">
        <v>75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1753</v>
      </c>
      <c r="B32" t="s">
        <v>49</v>
      </c>
      <c r="C32" t="s">
        <v>75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1753</v>
      </c>
      <c r="B33" t="s">
        <v>16</v>
      </c>
      <c r="C33" t="s">
        <v>75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1753</v>
      </c>
      <c r="B34" t="s">
        <v>17</v>
      </c>
      <c r="C34" t="s">
        <v>75</v>
      </c>
      <c r="D34" t="s">
        <v>33</v>
      </c>
      <c r="F34">
        <v>94</v>
      </c>
      <c r="J34">
        <f t="shared" si="0"/>
        <v>10528</v>
      </c>
      <c r="L34">
        <f t="shared" si="1"/>
        <v>4.7</v>
      </c>
    </row>
    <row r="35" spans="1:12" x14ac:dyDescent="0.25">
      <c r="A35">
        <v>1753</v>
      </c>
      <c r="B35" t="s">
        <v>18</v>
      </c>
      <c r="C35" t="s">
        <v>75</v>
      </c>
      <c r="D35" t="s">
        <v>33</v>
      </c>
      <c r="H35">
        <v>29037.5</v>
      </c>
      <c r="I35" t="s">
        <v>121</v>
      </c>
      <c r="J35">
        <f t="shared" si="0"/>
        <v>29037.5</v>
      </c>
      <c r="L35">
        <f t="shared" si="1"/>
        <v>12.963169642857142</v>
      </c>
    </row>
    <row r="36" spans="1:12" x14ac:dyDescent="0.25">
      <c r="A36">
        <v>1753</v>
      </c>
      <c r="B36" t="s">
        <v>72</v>
      </c>
      <c r="C36" t="s">
        <v>75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1753</v>
      </c>
      <c r="B37" t="s">
        <v>19</v>
      </c>
      <c r="C37" t="s">
        <v>75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1753</v>
      </c>
      <c r="B38" t="s">
        <v>47</v>
      </c>
      <c r="C38" t="s">
        <v>75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1753</v>
      </c>
      <c r="B39" t="s">
        <v>56</v>
      </c>
      <c r="C39" t="s">
        <v>75</v>
      </c>
      <c r="D39" t="s">
        <v>33</v>
      </c>
      <c r="H39">
        <v>87</v>
      </c>
      <c r="J39">
        <f t="shared" si="0"/>
        <v>87</v>
      </c>
      <c r="L39">
        <f t="shared" si="1"/>
        <v>3.8839285714285715E-2</v>
      </c>
    </row>
    <row r="40" spans="1:12" x14ac:dyDescent="0.25">
      <c r="A40">
        <v>1753</v>
      </c>
      <c r="B40" t="s">
        <v>102</v>
      </c>
      <c r="C40" t="s">
        <v>75</v>
      </c>
      <c r="D40" t="s">
        <v>33</v>
      </c>
      <c r="H40">
        <v>45</v>
      </c>
      <c r="J40">
        <f t="shared" si="0"/>
        <v>45</v>
      </c>
      <c r="L40">
        <f t="shared" si="1"/>
        <v>2.0089285714285716E-2</v>
      </c>
    </row>
    <row r="41" spans="1:12" x14ac:dyDescent="0.25">
      <c r="A41">
        <v>1753</v>
      </c>
      <c r="B41" t="s">
        <v>20</v>
      </c>
      <c r="C41" t="s">
        <v>75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1753</v>
      </c>
      <c r="B42" t="s">
        <v>21</v>
      </c>
      <c r="C42" t="s">
        <v>75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1753</v>
      </c>
      <c r="B43" t="s">
        <v>22</v>
      </c>
      <c r="C43" t="s">
        <v>75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1753</v>
      </c>
      <c r="B44" t="s">
        <v>63</v>
      </c>
      <c r="C44" t="s">
        <v>75</v>
      </c>
      <c r="D44" t="s">
        <v>33</v>
      </c>
      <c r="E44">
        <v>6</v>
      </c>
      <c r="J44">
        <f t="shared" si="0"/>
        <v>13440</v>
      </c>
      <c r="L44">
        <f t="shared" si="1"/>
        <v>6</v>
      </c>
    </row>
    <row r="45" spans="1:12" x14ac:dyDescent="0.25">
      <c r="A45">
        <v>1753</v>
      </c>
      <c r="B45" t="s">
        <v>91</v>
      </c>
      <c r="C45" t="s">
        <v>75</v>
      </c>
      <c r="D45" t="s">
        <v>33</v>
      </c>
      <c r="E45">
        <v>31</v>
      </c>
      <c r="J45">
        <f t="shared" si="0"/>
        <v>69440</v>
      </c>
      <c r="L45">
        <f t="shared" si="1"/>
        <v>31</v>
      </c>
    </row>
    <row r="46" spans="1:12" x14ac:dyDescent="0.25">
      <c r="A46">
        <v>1753</v>
      </c>
      <c r="B46" t="s">
        <v>64</v>
      </c>
      <c r="C46" t="s">
        <v>75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1753</v>
      </c>
      <c r="B47" t="s">
        <v>65</v>
      </c>
      <c r="C47" t="s">
        <v>75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1753</v>
      </c>
      <c r="B48" t="s">
        <v>73</v>
      </c>
      <c r="C48" t="s">
        <v>75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1753</v>
      </c>
      <c r="B49" t="s">
        <v>66</v>
      </c>
      <c r="C49" t="s">
        <v>75</v>
      </c>
      <c r="D49" t="s">
        <v>33</v>
      </c>
      <c r="F49">
        <v>10</v>
      </c>
      <c r="J49">
        <f t="shared" si="0"/>
        <v>1120</v>
      </c>
      <c r="L49">
        <f t="shared" si="1"/>
        <v>0.5</v>
      </c>
    </row>
    <row r="50" spans="1:12" x14ac:dyDescent="0.25">
      <c r="A50">
        <v>1753</v>
      </c>
      <c r="B50" t="s">
        <v>67</v>
      </c>
      <c r="C50" t="s">
        <v>75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1753</v>
      </c>
      <c r="B51" t="s">
        <v>6</v>
      </c>
      <c r="C51" t="s">
        <v>75</v>
      </c>
      <c r="D51" t="s">
        <v>35</v>
      </c>
      <c r="F51">
        <v>9069</v>
      </c>
      <c r="G51">
        <v>3</v>
      </c>
      <c r="H51">
        <v>7</v>
      </c>
      <c r="J51">
        <f t="shared" si="0"/>
        <v>1015819</v>
      </c>
      <c r="L51">
        <f t="shared" si="1"/>
        <v>453.49062500000002</v>
      </c>
    </row>
    <row r="52" spans="1:12" x14ac:dyDescent="0.25">
      <c r="A52">
        <v>1753</v>
      </c>
      <c r="B52" t="s">
        <v>7</v>
      </c>
      <c r="C52" t="s">
        <v>75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1753</v>
      </c>
      <c r="B53" t="s">
        <v>8</v>
      </c>
      <c r="C53" t="s">
        <v>75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1753</v>
      </c>
      <c r="B54" t="s">
        <v>9</v>
      </c>
      <c r="C54" t="s">
        <v>75</v>
      </c>
      <c r="D54" t="s">
        <v>35</v>
      </c>
      <c r="H54">
        <f>360.75*200</f>
        <v>72150</v>
      </c>
      <c r="I54" t="s">
        <v>147</v>
      </c>
      <c r="J54">
        <f t="shared" si="0"/>
        <v>72150</v>
      </c>
      <c r="L54">
        <f t="shared" si="1"/>
        <v>32.209821428571431</v>
      </c>
    </row>
    <row r="55" spans="1:12" x14ac:dyDescent="0.25">
      <c r="A55">
        <v>1753</v>
      </c>
      <c r="B55" t="s">
        <v>10</v>
      </c>
      <c r="C55" t="s">
        <v>75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1753</v>
      </c>
      <c r="B56" t="s">
        <v>11</v>
      </c>
      <c r="C56" t="s">
        <v>75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1753</v>
      </c>
      <c r="B57" t="s">
        <v>129</v>
      </c>
      <c r="C57" t="s">
        <v>75</v>
      </c>
      <c r="D57" t="s">
        <v>35</v>
      </c>
      <c r="H57">
        <v>100</v>
      </c>
      <c r="J57">
        <f t="shared" si="0"/>
        <v>100</v>
      </c>
      <c r="L57">
        <f t="shared" si="1"/>
        <v>4.4642857142857144E-2</v>
      </c>
    </row>
    <row r="58" spans="1:12" x14ac:dyDescent="0.25">
      <c r="A58">
        <v>1753</v>
      </c>
      <c r="B58" t="s">
        <v>12</v>
      </c>
      <c r="C58" t="s">
        <v>75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1753</v>
      </c>
      <c r="B59" t="s">
        <v>13</v>
      </c>
      <c r="C59" t="s">
        <v>75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1753</v>
      </c>
      <c r="B60" t="s">
        <v>14</v>
      </c>
      <c r="C60" t="s">
        <v>75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1753</v>
      </c>
      <c r="B61" t="s">
        <v>27</v>
      </c>
      <c r="C61" t="s">
        <v>75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1753</v>
      </c>
      <c r="B62" t="s">
        <v>15</v>
      </c>
      <c r="C62" t="s">
        <v>75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1753</v>
      </c>
      <c r="B63" t="s">
        <v>17</v>
      </c>
      <c r="C63" t="s">
        <v>75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1753</v>
      </c>
      <c r="B64" t="s">
        <v>18</v>
      </c>
      <c r="C64" t="s">
        <v>75</v>
      </c>
      <c r="D64" t="s">
        <v>35</v>
      </c>
      <c r="H64">
        <v>7232</v>
      </c>
      <c r="I64" t="s">
        <v>146</v>
      </c>
      <c r="J64">
        <f t="shared" si="0"/>
        <v>7232</v>
      </c>
      <c r="L64">
        <f t="shared" si="1"/>
        <v>3.2285714285714286</v>
      </c>
    </row>
    <row r="65" spans="1:12" x14ac:dyDescent="0.25">
      <c r="A65">
        <v>1753</v>
      </c>
      <c r="B65" t="s">
        <v>19</v>
      </c>
      <c r="C65" t="s">
        <v>75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1753</v>
      </c>
      <c r="B66" t="s">
        <v>56</v>
      </c>
      <c r="C66" t="s">
        <v>75</v>
      </c>
      <c r="D66" t="s">
        <v>35</v>
      </c>
      <c r="H66">
        <v>10</v>
      </c>
      <c r="J66">
        <f t="shared" si="0"/>
        <v>10</v>
      </c>
      <c r="L66">
        <f t="shared" si="1"/>
        <v>4.464285714285714E-3</v>
      </c>
    </row>
    <row r="67" spans="1:12" x14ac:dyDescent="0.25">
      <c r="A67">
        <v>1753</v>
      </c>
      <c r="B67" t="s">
        <v>102</v>
      </c>
      <c r="C67" t="s">
        <v>75</v>
      </c>
      <c r="D67" t="s">
        <v>35</v>
      </c>
      <c r="H67">
        <v>47</v>
      </c>
      <c r="J67">
        <f t="shared" si="0"/>
        <v>47</v>
      </c>
      <c r="L67">
        <f t="shared" si="1"/>
        <v>2.0982142857142855E-2</v>
      </c>
    </row>
    <row r="68" spans="1:12" x14ac:dyDescent="0.25">
      <c r="A68">
        <v>1753</v>
      </c>
      <c r="B68" t="s">
        <v>21</v>
      </c>
      <c r="C68" t="s">
        <v>75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1753</v>
      </c>
      <c r="B69" t="s">
        <v>22</v>
      </c>
      <c r="C69" t="s">
        <v>75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1753</v>
      </c>
      <c r="B70" t="s">
        <v>64</v>
      </c>
      <c r="C70" t="s">
        <v>75</v>
      </c>
      <c r="D70" t="s">
        <v>35</v>
      </c>
      <c r="E70">
        <v>8</v>
      </c>
      <c r="J70">
        <f t="shared" ref="J70:J71" si="2">(E70*2240)+(F70*112)+(G70*28)+H70</f>
        <v>17920</v>
      </c>
      <c r="L70">
        <f t="shared" ref="L70:L71" si="3">J70/2240</f>
        <v>8</v>
      </c>
    </row>
    <row r="71" spans="1:12" x14ac:dyDescent="0.25">
      <c r="A71">
        <v>1753</v>
      </c>
      <c r="B71" t="s">
        <v>66</v>
      </c>
      <c r="C71" t="s">
        <v>75</v>
      </c>
      <c r="D71" t="s">
        <v>35</v>
      </c>
      <c r="J71">
        <f t="shared" si="2"/>
        <v>0</v>
      </c>
      <c r="L71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71"/>
  <sheetViews>
    <sheetView topLeftCell="A18" workbookViewId="0">
      <selection activeCell="H18" sqref="H1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1753</v>
      </c>
      <c r="B2" t="s">
        <v>57</v>
      </c>
      <c r="C2" t="s">
        <v>76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1753</v>
      </c>
      <c r="B3" t="s">
        <v>59</v>
      </c>
      <c r="C3" t="s">
        <v>76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2" x14ac:dyDescent="0.25">
      <c r="A4">
        <v>1753</v>
      </c>
      <c r="B4" t="s">
        <v>38</v>
      </c>
      <c r="C4" t="s">
        <v>76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1753</v>
      </c>
      <c r="B5" t="s">
        <v>4</v>
      </c>
      <c r="C5" t="s">
        <v>76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1753</v>
      </c>
      <c r="B6" t="s">
        <v>60</v>
      </c>
      <c r="C6" t="s">
        <v>76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1753</v>
      </c>
      <c r="B7" t="s">
        <v>71</v>
      </c>
      <c r="C7" t="s">
        <v>76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1753</v>
      </c>
      <c r="B8" t="s">
        <v>45</v>
      </c>
      <c r="C8" t="s">
        <v>76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1753</v>
      </c>
      <c r="B9" t="s">
        <v>5</v>
      </c>
      <c r="C9" t="s">
        <v>76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1753</v>
      </c>
      <c r="B10" t="s">
        <v>61</v>
      </c>
      <c r="C10" t="s">
        <v>76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1753</v>
      </c>
      <c r="B11" t="s">
        <v>6</v>
      </c>
      <c r="C11" t="s">
        <v>76</v>
      </c>
      <c r="D11" t="s">
        <v>33</v>
      </c>
      <c r="F11">
        <v>45435</v>
      </c>
      <c r="G11">
        <v>1</v>
      </c>
      <c r="H11">
        <v>15</v>
      </c>
      <c r="J11">
        <f t="shared" si="0"/>
        <v>5088763</v>
      </c>
      <c r="L11">
        <f t="shared" si="1"/>
        <v>2271.7691964285714</v>
      </c>
    </row>
    <row r="12" spans="1:12" x14ac:dyDescent="0.25">
      <c r="A12">
        <v>1753</v>
      </c>
      <c r="B12" t="s">
        <v>62</v>
      </c>
      <c r="C12" t="s">
        <v>76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1753</v>
      </c>
      <c r="B13" t="s">
        <v>40</v>
      </c>
      <c r="C13" t="s">
        <v>76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1753</v>
      </c>
      <c r="B14" t="s">
        <v>39</v>
      </c>
      <c r="C14" t="s">
        <v>76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1753</v>
      </c>
      <c r="B15" t="s">
        <v>8</v>
      </c>
      <c r="C15" t="s">
        <v>76</v>
      </c>
      <c r="D15" t="s">
        <v>33</v>
      </c>
      <c r="F15">
        <v>3</v>
      </c>
      <c r="J15">
        <f t="shared" si="0"/>
        <v>336</v>
      </c>
      <c r="L15">
        <f t="shared" si="1"/>
        <v>0.15</v>
      </c>
    </row>
    <row r="16" spans="1:12" x14ac:dyDescent="0.25">
      <c r="A16">
        <v>1753</v>
      </c>
      <c r="B16" t="s">
        <v>42</v>
      </c>
      <c r="C16" t="s">
        <v>76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1753</v>
      </c>
      <c r="B17" t="s">
        <v>48</v>
      </c>
      <c r="C17" t="s">
        <v>76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1753</v>
      </c>
      <c r="B18" t="s">
        <v>9</v>
      </c>
      <c r="C18" t="s">
        <v>76</v>
      </c>
      <c r="D18" t="s">
        <v>33</v>
      </c>
      <c r="H18">
        <f>64.5*200</f>
        <v>12900</v>
      </c>
      <c r="I18" t="s">
        <v>128</v>
      </c>
      <c r="J18">
        <f t="shared" si="0"/>
        <v>12900</v>
      </c>
      <c r="L18">
        <f t="shared" si="1"/>
        <v>5.7589285714285712</v>
      </c>
    </row>
    <row r="19" spans="1:12" x14ac:dyDescent="0.25">
      <c r="A19">
        <v>1753</v>
      </c>
      <c r="B19" t="s">
        <v>10</v>
      </c>
      <c r="C19" t="s">
        <v>76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1753</v>
      </c>
      <c r="B20" t="s">
        <v>11</v>
      </c>
      <c r="C20" t="s">
        <v>76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1753</v>
      </c>
      <c r="B21" t="s">
        <v>41</v>
      </c>
      <c r="C21" t="s">
        <v>76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1753</v>
      </c>
      <c r="B22" t="s">
        <v>46</v>
      </c>
      <c r="C22" t="s">
        <v>76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1753</v>
      </c>
      <c r="B23" t="s">
        <v>12</v>
      </c>
      <c r="C23" t="s">
        <v>76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1753</v>
      </c>
      <c r="B24" t="s">
        <v>34</v>
      </c>
      <c r="C24" t="s">
        <v>76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1753</v>
      </c>
      <c r="B25" t="s">
        <v>13</v>
      </c>
      <c r="C25" t="s">
        <v>76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1753</v>
      </c>
      <c r="B26" t="s">
        <v>14</v>
      </c>
      <c r="C26" t="s">
        <v>76</v>
      </c>
      <c r="D26" t="s">
        <v>33</v>
      </c>
      <c r="H26">
        <v>320</v>
      </c>
      <c r="I26" t="s">
        <v>124</v>
      </c>
      <c r="J26">
        <f t="shared" si="0"/>
        <v>320</v>
      </c>
      <c r="L26">
        <f t="shared" si="1"/>
        <v>0.14285714285714285</v>
      </c>
    </row>
    <row r="27" spans="1:12" x14ac:dyDescent="0.25">
      <c r="A27">
        <v>1753</v>
      </c>
      <c r="B27" t="s">
        <v>23</v>
      </c>
      <c r="C27" t="s">
        <v>76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1753</v>
      </c>
      <c r="B28" t="s">
        <v>27</v>
      </c>
      <c r="C28" t="s">
        <v>76</v>
      </c>
      <c r="D28" t="s">
        <v>33</v>
      </c>
      <c r="H28">
        <v>11993</v>
      </c>
      <c r="I28" t="s">
        <v>127</v>
      </c>
      <c r="J28">
        <f t="shared" si="0"/>
        <v>11993</v>
      </c>
      <c r="L28">
        <f t="shared" si="1"/>
        <v>5.3540178571428569</v>
      </c>
    </row>
    <row r="29" spans="1:12" x14ac:dyDescent="0.25">
      <c r="A29">
        <v>1753</v>
      </c>
      <c r="B29" t="s">
        <v>15</v>
      </c>
      <c r="C29" t="s">
        <v>76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1753</v>
      </c>
      <c r="B30" t="s">
        <v>44</v>
      </c>
      <c r="C30" t="s">
        <v>76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1753</v>
      </c>
      <c r="B31" t="s">
        <v>49</v>
      </c>
      <c r="C31" t="s">
        <v>76</v>
      </c>
      <c r="D31" t="s">
        <v>33</v>
      </c>
      <c r="H31">
        <v>10</v>
      </c>
      <c r="I31" t="s">
        <v>125</v>
      </c>
      <c r="J31">
        <f t="shared" si="0"/>
        <v>10</v>
      </c>
      <c r="L31">
        <f t="shared" si="1"/>
        <v>4.464285714285714E-3</v>
      </c>
    </row>
    <row r="32" spans="1:12" x14ac:dyDescent="0.25">
      <c r="A32">
        <v>1753</v>
      </c>
      <c r="B32" t="s">
        <v>16</v>
      </c>
      <c r="C32" t="s">
        <v>76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1753</v>
      </c>
      <c r="B33" t="s">
        <v>17</v>
      </c>
      <c r="C33" t="s">
        <v>76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1753</v>
      </c>
      <c r="B34" t="s">
        <v>18</v>
      </c>
      <c r="C34" t="s">
        <v>76</v>
      </c>
      <c r="D34" t="s">
        <v>33</v>
      </c>
      <c r="H34">
        <v>27107</v>
      </c>
      <c r="I34" t="s">
        <v>126</v>
      </c>
      <c r="J34">
        <f t="shared" si="0"/>
        <v>27107</v>
      </c>
      <c r="L34">
        <f t="shared" si="1"/>
        <v>12.101339285714285</v>
      </c>
    </row>
    <row r="35" spans="1:12" x14ac:dyDescent="0.25">
      <c r="A35">
        <v>1753</v>
      </c>
      <c r="B35" t="s">
        <v>72</v>
      </c>
      <c r="C35" t="s">
        <v>76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1753</v>
      </c>
      <c r="B36" t="s">
        <v>19</v>
      </c>
      <c r="C36" t="s">
        <v>76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1753</v>
      </c>
      <c r="B37" t="s">
        <v>47</v>
      </c>
      <c r="C37" t="s">
        <v>76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1753</v>
      </c>
      <c r="B38" t="s">
        <v>56</v>
      </c>
      <c r="C38" t="s">
        <v>76</v>
      </c>
      <c r="D38" t="s">
        <v>33</v>
      </c>
      <c r="H38">
        <v>11</v>
      </c>
      <c r="J38">
        <f t="shared" si="0"/>
        <v>11</v>
      </c>
      <c r="L38">
        <f t="shared" si="1"/>
        <v>4.9107142857142856E-3</v>
      </c>
    </row>
    <row r="39" spans="1:12" x14ac:dyDescent="0.25">
      <c r="A39">
        <v>1753</v>
      </c>
      <c r="B39" t="s">
        <v>102</v>
      </c>
      <c r="C39" t="s">
        <v>76</v>
      </c>
      <c r="D39" t="s">
        <v>33</v>
      </c>
      <c r="H39">
        <v>69</v>
      </c>
      <c r="J39">
        <f t="shared" si="0"/>
        <v>69</v>
      </c>
      <c r="L39">
        <f t="shared" si="1"/>
        <v>3.080357142857143E-2</v>
      </c>
    </row>
    <row r="40" spans="1:12" x14ac:dyDescent="0.25">
      <c r="A40">
        <v>1753</v>
      </c>
      <c r="B40" t="s">
        <v>20</v>
      </c>
      <c r="C40" t="s">
        <v>76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1753</v>
      </c>
      <c r="B41" t="s">
        <v>21</v>
      </c>
      <c r="C41" t="s">
        <v>76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1753</v>
      </c>
      <c r="B42" t="s">
        <v>22</v>
      </c>
      <c r="C42" t="s">
        <v>76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1753</v>
      </c>
      <c r="B43" t="s">
        <v>63</v>
      </c>
      <c r="C43" t="s">
        <v>76</v>
      </c>
      <c r="D43" t="s">
        <v>33</v>
      </c>
      <c r="E43">
        <v>12</v>
      </c>
      <c r="J43">
        <f t="shared" si="0"/>
        <v>26880</v>
      </c>
      <c r="L43">
        <f t="shared" si="1"/>
        <v>12</v>
      </c>
    </row>
    <row r="44" spans="1:12" x14ac:dyDescent="0.25">
      <c r="A44">
        <v>1753</v>
      </c>
      <c r="B44" t="s">
        <v>91</v>
      </c>
      <c r="C44" t="s">
        <v>76</v>
      </c>
      <c r="D44" t="s">
        <v>33</v>
      </c>
      <c r="E44">
        <v>60</v>
      </c>
      <c r="F44">
        <v>5</v>
      </c>
      <c r="G44">
        <v>1</v>
      </c>
      <c r="H44">
        <v>4</v>
      </c>
      <c r="J44">
        <f t="shared" si="0"/>
        <v>134992</v>
      </c>
      <c r="L44">
        <f t="shared" si="1"/>
        <v>60.264285714285712</v>
      </c>
    </row>
    <row r="45" spans="1:12" x14ac:dyDescent="0.25">
      <c r="A45">
        <v>1753</v>
      </c>
      <c r="B45" t="s">
        <v>64</v>
      </c>
      <c r="C45" t="s">
        <v>76</v>
      </c>
      <c r="D45" t="s">
        <v>33</v>
      </c>
      <c r="E45">
        <v>12</v>
      </c>
      <c r="J45">
        <f t="shared" si="0"/>
        <v>26880</v>
      </c>
      <c r="L45">
        <f t="shared" si="1"/>
        <v>12</v>
      </c>
    </row>
    <row r="46" spans="1:12" x14ac:dyDescent="0.25">
      <c r="A46">
        <v>1753</v>
      </c>
      <c r="B46" t="s">
        <v>65</v>
      </c>
      <c r="C46" t="s">
        <v>76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1753</v>
      </c>
      <c r="B47" t="s">
        <v>73</v>
      </c>
      <c r="C47" t="s">
        <v>76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1753</v>
      </c>
      <c r="B48" t="s">
        <v>66</v>
      </c>
      <c r="C48" t="s">
        <v>76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1753</v>
      </c>
      <c r="B49" t="s">
        <v>67</v>
      </c>
      <c r="C49" t="s">
        <v>76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1753</v>
      </c>
      <c r="B50" t="s">
        <v>5</v>
      </c>
      <c r="C50" t="s">
        <v>76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1753</v>
      </c>
      <c r="B51" t="s">
        <v>6</v>
      </c>
      <c r="C51" t="s">
        <v>76</v>
      </c>
      <c r="D51" t="s">
        <v>35</v>
      </c>
      <c r="F51">
        <v>3885</v>
      </c>
      <c r="J51">
        <f t="shared" si="0"/>
        <v>435120</v>
      </c>
      <c r="L51">
        <f t="shared" si="1"/>
        <v>194.25</v>
      </c>
    </row>
    <row r="52" spans="1:12" x14ac:dyDescent="0.25">
      <c r="A52">
        <v>1753</v>
      </c>
      <c r="B52" t="s">
        <v>7</v>
      </c>
      <c r="C52" t="s">
        <v>76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1753</v>
      </c>
      <c r="B53" t="s">
        <v>8</v>
      </c>
      <c r="C53" t="s">
        <v>76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1753</v>
      </c>
      <c r="B54" t="s">
        <v>9</v>
      </c>
      <c r="C54" t="s">
        <v>76</v>
      </c>
      <c r="D54" t="s">
        <v>35</v>
      </c>
      <c r="H54">
        <f>179.75*200</f>
        <v>35950</v>
      </c>
      <c r="I54" t="s">
        <v>150</v>
      </c>
      <c r="J54">
        <f t="shared" si="0"/>
        <v>35950</v>
      </c>
      <c r="L54">
        <f t="shared" si="1"/>
        <v>16.049107142857142</v>
      </c>
    </row>
    <row r="55" spans="1:12" x14ac:dyDescent="0.25">
      <c r="A55">
        <v>1753</v>
      </c>
      <c r="B55" t="s">
        <v>10</v>
      </c>
      <c r="C55" t="s">
        <v>76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1753</v>
      </c>
      <c r="B56" t="s">
        <v>11</v>
      </c>
      <c r="C56" t="s">
        <v>76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1753</v>
      </c>
      <c r="B57" t="s">
        <v>129</v>
      </c>
      <c r="C57" t="s">
        <v>76</v>
      </c>
      <c r="D57" t="s">
        <v>35</v>
      </c>
      <c r="H57">
        <v>360</v>
      </c>
      <c r="J57">
        <f t="shared" si="0"/>
        <v>360</v>
      </c>
      <c r="L57">
        <f t="shared" si="1"/>
        <v>0.16071428571428573</v>
      </c>
    </row>
    <row r="58" spans="1:12" x14ac:dyDescent="0.25">
      <c r="A58">
        <v>1753</v>
      </c>
      <c r="B58" t="s">
        <v>12</v>
      </c>
      <c r="C58" t="s">
        <v>76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1753</v>
      </c>
      <c r="B59" t="s">
        <v>13</v>
      </c>
      <c r="C59" t="s">
        <v>76</v>
      </c>
      <c r="D59" t="s">
        <v>35</v>
      </c>
      <c r="E59">
        <v>33</v>
      </c>
      <c r="F59">
        <v>7</v>
      </c>
      <c r="G59">
        <v>3</v>
      </c>
      <c r="H59">
        <v>14</v>
      </c>
      <c r="J59">
        <f t="shared" si="0"/>
        <v>74802</v>
      </c>
      <c r="L59">
        <f t="shared" si="1"/>
        <v>33.393749999999997</v>
      </c>
    </row>
    <row r="60" spans="1:12" x14ac:dyDescent="0.25">
      <c r="A60">
        <v>1753</v>
      </c>
      <c r="B60" t="s">
        <v>14</v>
      </c>
      <c r="C60" t="s">
        <v>76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1753</v>
      </c>
      <c r="B61" t="s">
        <v>27</v>
      </c>
      <c r="C61" t="s">
        <v>76</v>
      </c>
      <c r="D61" t="s">
        <v>35</v>
      </c>
      <c r="H61">
        <v>3331</v>
      </c>
      <c r="I61" t="s">
        <v>149</v>
      </c>
      <c r="J61">
        <f t="shared" si="0"/>
        <v>3331</v>
      </c>
      <c r="L61">
        <f t="shared" si="1"/>
        <v>1.4870535714285715</v>
      </c>
    </row>
    <row r="62" spans="1:12" x14ac:dyDescent="0.25">
      <c r="A62">
        <v>1753</v>
      </c>
      <c r="B62" t="s">
        <v>15</v>
      </c>
      <c r="C62" t="s">
        <v>76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1753</v>
      </c>
      <c r="B63" t="s">
        <v>17</v>
      </c>
      <c r="C63" t="s">
        <v>76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1753</v>
      </c>
      <c r="B64" t="s">
        <v>18</v>
      </c>
      <c r="C64" t="s">
        <v>76</v>
      </c>
      <c r="D64" t="s">
        <v>35</v>
      </c>
      <c r="H64">
        <v>700</v>
      </c>
      <c r="I64" t="s">
        <v>148</v>
      </c>
      <c r="J64">
        <f t="shared" si="0"/>
        <v>700</v>
      </c>
      <c r="L64">
        <f t="shared" si="1"/>
        <v>0.3125</v>
      </c>
    </row>
    <row r="65" spans="1:12" x14ac:dyDescent="0.25">
      <c r="A65">
        <v>1753</v>
      </c>
      <c r="B65" t="s">
        <v>19</v>
      </c>
      <c r="C65" t="s">
        <v>76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1753</v>
      </c>
      <c r="B66" t="s">
        <v>56</v>
      </c>
      <c r="C66" t="s">
        <v>76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1753</v>
      </c>
      <c r="B67" t="s">
        <v>102</v>
      </c>
      <c r="C67" t="s">
        <v>76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1753</v>
      </c>
      <c r="B68" t="s">
        <v>21</v>
      </c>
      <c r="C68" t="s">
        <v>76</v>
      </c>
      <c r="D68" t="s">
        <v>35</v>
      </c>
      <c r="H68">
        <v>55</v>
      </c>
      <c r="J68">
        <f t="shared" si="0"/>
        <v>55</v>
      </c>
      <c r="L68">
        <f t="shared" si="1"/>
        <v>2.4553571428571428E-2</v>
      </c>
    </row>
    <row r="69" spans="1:12" x14ac:dyDescent="0.25">
      <c r="A69">
        <v>1753</v>
      </c>
      <c r="B69" t="s">
        <v>22</v>
      </c>
      <c r="C69" t="s">
        <v>76</v>
      </c>
      <c r="D69" t="s">
        <v>35</v>
      </c>
      <c r="J69">
        <f t="shared" ref="J69:J71" si="2">(E69*2240)+(F69*112)+(G69*28)+H69</f>
        <v>0</v>
      </c>
      <c r="L69">
        <f t="shared" ref="L69:L71" si="3">J69/2240</f>
        <v>0</v>
      </c>
    </row>
    <row r="70" spans="1:12" x14ac:dyDescent="0.25">
      <c r="A70">
        <v>1753</v>
      </c>
      <c r="B70" t="s">
        <v>64</v>
      </c>
      <c r="C70" t="s">
        <v>76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1753</v>
      </c>
      <c r="B71" t="s">
        <v>93</v>
      </c>
      <c r="C71" t="s">
        <v>76</v>
      </c>
      <c r="D71" t="s">
        <v>35</v>
      </c>
      <c r="F71">
        <v>2</v>
      </c>
      <c r="J71">
        <f t="shared" si="2"/>
        <v>224</v>
      </c>
      <c r="L71">
        <f t="shared" si="3"/>
        <v>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77"/>
  <sheetViews>
    <sheetView topLeftCell="A24" workbookViewId="0">
      <selection activeCell="H58" sqref="H5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1753</v>
      </c>
      <c r="B2" t="s">
        <v>57</v>
      </c>
      <c r="C2" t="s">
        <v>77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1753</v>
      </c>
      <c r="B3" t="s">
        <v>59</v>
      </c>
      <c r="C3" t="s">
        <v>77</v>
      </c>
      <c r="D3" t="s">
        <v>33</v>
      </c>
      <c r="J3">
        <f t="shared" ref="J3:J71" si="0">(E3*2240)+(F3*112)+(G3*28)+H3</f>
        <v>0</v>
      </c>
      <c r="L3">
        <f t="shared" ref="L3:L71" si="1">J3/2240</f>
        <v>0</v>
      </c>
    </row>
    <row r="4" spans="1:12" x14ac:dyDescent="0.25">
      <c r="A4">
        <v>1753</v>
      </c>
      <c r="B4" t="s">
        <v>38</v>
      </c>
      <c r="C4" t="s">
        <v>77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1753</v>
      </c>
      <c r="B5" t="s">
        <v>4</v>
      </c>
      <c r="C5" t="s">
        <v>77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1753</v>
      </c>
      <c r="B6" t="s">
        <v>60</v>
      </c>
      <c r="C6" t="s">
        <v>77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1753</v>
      </c>
      <c r="B7" t="s">
        <v>71</v>
      </c>
      <c r="C7" t="s">
        <v>77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1753</v>
      </c>
      <c r="B8" t="s">
        <v>45</v>
      </c>
      <c r="C8" t="s">
        <v>77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1753</v>
      </c>
      <c r="B9" t="s">
        <v>5</v>
      </c>
      <c r="C9" t="s">
        <v>77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1753</v>
      </c>
      <c r="B10" t="s">
        <v>61</v>
      </c>
      <c r="C10" t="s">
        <v>77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1753</v>
      </c>
      <c r="B11" t="s">
        <v>6</v>
      </c>
      <c r="C11" t="s">
        <v>77</v>
      </c>
      <c r="D11" t="s">
        <v>33</v>
      </c>
      <c r="F11">
        <v>148113</v>
      </c>
      <c r="G11">
        <v>3</v>
      </c>
      <c r="H11">
        <v>14</v>
      </c>
      <c r="J11">
        <f t="shared" si="0"/>
        <v>16588754</v>
      </c>
      <c r="L11">
        <f t="shared" si="1"/>
        <v>7405.6937500000004</v>
      </c>
    </row>
    <row r="12" spans="1:12" x14ac:dyDescent="0.25">
      <c r="A12">
        <v>1753</v>
      </c>
      <c r="B12" t="s">
        <v>62</v>
      </c>
      <c r="C12" t="s">
        <v>77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1753</v>
      </c>
      <c r="B13" t="s">
        <v>40</v>
      </c>
      <c r="C13" t="s">
        <v>77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1753</v>
      </c>
      <c r="B14" t="s">
        <v>39</v>
      </c>
      <c r="C14" t="s">
        <v>77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1753</v>
      </c>
      <c r="B15" t="s">
        <v>8</v>
      </c>
      <c r="C15" t="s">
        <v>77</v>
      </c>
      <c r="D15" t="s">
        <v>33</v>
      </c>
      <c r="F15">
        <v>53</v>
      </c>
      <c r="G15">
        <v>3</v>
      </c>
      <c r="H15">
        <v>12</v>
      </c>
      <c r="J15">
        <f t="shared" si="0"/>
        <v>6032</v>
      </c>
      <c r="L15">
        <f t="shared" si="1"/>
        <v>2.6928571428571431</v>
      </c>
    </row>
    <row r="16" spans="1:12" x14ac:dyDescent="0.25">
      <c r="A16">
        <v>1753</v>
      </c>
      <c r="B16" t="s">
        <v>42</v>
      </c>
      <c r="C16" t="s">
        <v>77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1753</v>
      </c>
      <c r="B17" t="s">
        <v>99</v>
      </c>
      <c r="C17" t="s">
        <v>77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1753</v>
      </c>
      <c r="B18" t="s">
        <v>48</v>
      </c>
      <c r="C18" t="s">
        <v>77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1753</v>
      </c>
      <c r="B19" t="s">
        <v>9</v>
      </c>
      <c r="C19" t="s">
        <v>77</v>
      </c>
      <c r="D19" t="s">
        <v>33</v>
      </c>
      <c r="H19">
        <f>454*200</f>
        <v>90800</v>
      </c>
      <c r="I19" t="s">
        <v>134</v>
      </c>
      <c r="J19">
        <f t="shared" si="0"/>
        <v>90800</v>
      </c>
      <c r="L19">
        <f t="shared" si="1"/>
        <v>40.535714285714285</v>
      </c>
    </row>
    <row r="20" spans="1:12" x14ac:dyDescent="0.25">
      <c r="A20">
        <v>1753</v>
      </c>
      <c r="B20" t="s">
        <v>10</v>
      </c>
      <c r="C20" t="s">
        <v>77</v>
      </c>
      <c r="D20" t="s">
        <v>33</v>
      </c>
      <c r="F20">
        <v>5</v>
      </c>
      <c r="H20">
        <v>14</v>
      </c>
      <c r="J20">
        <f t="shared" si="0"/>
        <v>574</v>
      </c>
      <c r="L20">
        <f t="shared" si="1"/>
        <v>0.25624999999999998</v>
      </c>
    </row>
    <row r="21" spans="1:12" x14ac:dyDescent="0.25">
      <c r="A21">
        <v>1753</v>
      </c>
      <c r="B21" t="s">
        <v>11</v>
      </c>
      <c r="C21" t="s">
        <v>77</v>
      </c>
      <c r="D21" t="s">
        <v>33</v>
      </c>
      <c r="F21">
        <v>35</v>
      </c>
      <c r="G21">
        <v>1</v>
      </c>
      <c r="H21">
        <v>8</v>
      </c>
      <c r="J21">
        <f t="shared" si="0"/>
        <v>3956</v>
      </c>
      <c r="L21">
        <f t="shared" si="1"/>
        <v>1.7660714285714285</v>
      </c>
    </row>
    <row r="22" spans="1:12" x14ac:dyDescent="0.25">
      <c r="A22">
        <v>1753</v>
      </c>
      <c r="B22" t="s">
        <v>41</v>
      </c>
      <c r="C22" t="s">
        <v>77</v>
      </c>
      <c r="D22" t="s">
        <v>33</v>
      </c>
      <c r="H22">
        <v>23</v>
      </c>
      <c r="J22">
        <f t="shared" si="0"/>
        <v>23</v>
      </c>
      <c r="L22">
        <f t="shared" si="1"/>
        <v>1.0267857142857143E-2</v>
      </c>
    </row>
    <row r="23" spans="1:12" x14ac:dyDescent="0.25">
      <c r="A23">
        <v>1753</v>
      </c>
      <c r="B23" t="s">
        <v>129</v>
      </c>
      <c r="C23" t="s">
        <v>77</v>
      </c>
      <c r="D23" t="s">
        <v>33</v>
      </c>
      <c r="H23">
        <v>50</v>
      </c>
      <c r="J23">
        <f t="shared" si="0"/>
        <v>50</v>
      </c>
      <c r="L23">
        <f t="shared" si="1"/>
        <v>2.2321428571428572E-2</v>
      </c>
    </row>
    <row r="24" spans="1:12" x14ac:dyDescent="0.25">
      <c r="A24">
        <v>1753</v>
      </c>
      <c r="B24" t="s">
        <v>46</v>
      </c>
      <c r="C24" t="s">
        <v>77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1753</v>
      </c>
      <c r="B25" t="s">
        <v>12</v>
      </c>
      <c r="C25" t="s">
        <v>77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1753</v>
      </c>
      <c r="B26" t="s">
        <v>34</v>
      </c>
      <c r="C26" t="s">
        <v>77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1753</v>
      </c>
      <c r="B27" t="s">
        <v>13</v>
      </c>
      <c r="C27" t="s">
        <v>77</v>
      </c>
      <c r="D27" t="s">
        <v>33</v>
      </c>
      <c r="E27">
        <v>41</v>
      </c>
      <c r="F27">
        <v>10</v>
      </c>
      <c r="G27">
        <v>2</v>
      </c>
      <c r="J27">
        <f t="shared" si="0"/>
        <v>93016</v>
      </c>
      <c r="L27">
        <f t="shared" si="1"/>
        <v>41.524999999999999</v>
      </c>
    </row>
    <row r="28" spans="1:12" x14ac:dyDescent="0.25">
      <c r="A28">
        <v>1753</v>
      </c>
      <c r="B28" t="s">
        <v>14</v>
      </c>
      <c r="C28" t="s">
        <v>77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1753</v>
      </c>
      <c r="B29" t="s">
        <v>23</v>
      </c>
      <c r="C29" t="s">
        <v>77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1753</v>
      </c>
      <c r="B30" t="s">
        <v>27</v>
      </c>
      <c r="C30" t="s">
        <v>77</v>
      </c>
      <c r="D30" t="s">
        <v>33</v>
      </c>
      <c r="H30">
        <v>135295</v>
      </c>
      <c r="I30" t="s">
        <v>132</v>
      </c>
      <c r="J30">
        <f t="shared" si="0"/>
        <v>135295</v>
      </c>
      <c r="L30">
        <f t="shared" si="1"/>
        <v>60.399553571428569</v>
      </c>
    </row>
    <row r="31" spans="1:12" x14ac:dyDescent="0.25">
      <c r="A31">
        <v>1753</v>
      </c>
      <c r="B31" t="s">
        <v>15</v>
      </c>
      <c r="C31" t="s">
        <v>77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1753</v>
      </c>
      <c r="B32" t="s">
        <v>44</v>
      </c>
      <c r="C32" t="s">
        <v>77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1753</v>
      </c>
      <c r="B33" t="s">
        <v>49</v>
      </c>
      <c r="C33" t="s">
        <v>77</v>
      </c>
      <c r="D33" t="s">
        <v>33</v>
      </c>
      <c r="H33">
        <v>30</v>
      </c>
      <c r="I33" t="s">
        <v>130</v>
      </c>
      <c r="J33">
        <f t="shared" si="0"/>
        <v>30</v>
      </c>
      <c r="L33">
        <f t="shared" si="1"/>
        <v>1.3392857142857142E-2</v>
      </c>
    </row>
    <row r="34" spans="1:12" x14ac:dyDescent="0.25">
      <c r="A34">
        <v>1753</v>
      </c>
      <c r="B34" t="s">
        <v>16</v>
      </c>
      <c r="C34" t="s">
        <v>77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1753</v>
      </c>
      <c r="B35" t="s">
        <v>100</v>
      </c>
      <c r="C35" t="s">
        <v>77</v>
      </c>
      <c r="D35" t="s">
        <v>33</v>
      </c>
      <c r="H35">
        <v>2771</v>
      </c>
      <c r="I35" t="s">
        <v>133</v>
      </c>
      <c r="J35">
        <f t="shared" si="0"/>
        <v>2771</v>
      </c>
      <c r="L35">
        <f t="shared" si="1"/>
        <v>1.2370535714285715</v>
      </c>
    </row>
    <row r="36" spans="1:12" x14ac:dyDescent="0.25">
      <c r="A36">
        <v>1753</v>
      </c>
      <c r="B36" t="s">
        <v>17</v>
      </c>
      <c r="C36" t="s">
        <v>77</v>
      </c>
      <c r="D36" t="s">
        <v>33</v>
      </c>
      <c r="F36">
        <v>127</v>
      </c>
      <c r="J36">
        <f t="shared" si="0"/>
        <v>14224</v>
      </c>
      <c r="L36">
        <f t="shared" si="1"/>
        <v>6.35</v>
      </c>
    </row>
    <row r="37" spans="1:12" x14ac:dyDescent="0.25">
      <c r="A37">
        <v>1753</v>
      </c>
      <c r="B37" t="s">
        <v>18</v>
      </c>
      <c r="C37" t="s">
        <v>77</v>
      </c>
      <c r="D37" t="s">
        <v>33</v>
      </c>
      <c r="H37">
        <v>717064</v>
      </c>
      <c r="I37" t="s">
        <v>131</v>
      </c>
      <c r="J37">
        <f t="shared" si="0"/>
        <v>717064</v>
      </c>
      <c r="L37">
        <f t="shared" si="1"/>
        <v>320.11785714285713</v>
      </c>
    </row>
    <row r="38" spans="1:12" x14ac:dyDescent="0.25">
      <c r="A38">
        <v>1753</v>
      </c>
      <c r="B38" t="s">
        <v>72</v>
      </c>
      <c r="C38" t="s">
        <v>77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1753</v>
      </c>
      <c r="B39" t="s">
        <v>19</v>
      </c>
      <c r="C39" t="s">
        <v>77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1753</v>
      </c>
      <c r="B40" t="s">
        <v>47</v>
      </c>
      <c r="C40" t="s">
        <v>77</v>
      </c>
      <c r="D40" t="s">
        <v>33</v>
      </c>
      <c r="H40">
        <v>12</v>
      </c>
      <c r="J40">
        <f t="shared" si="0"/>
        <v>12</v>
      </c>
      <c r="L40">
        <f t="shared" si="1"/>
        <v>5.3571428571428572E-3</v>
      </c>
    </row>
    <row r="41" spans="1:12" x14ac:dyDescent="0.25">
      <c r="A41">
        <v>1753</v>
      </c>
      <c r="B41" t="s">
        <v>56</v>
      </c>
      <c r="C41" t="s">
        <v>77</v>
      </c>
      <c r="D41" t="s">
        <v>33</v>
      </c>
      <c r="H41">
        <v>388</v>
      </c>
      <c r="J41">
        <f t="shared" si="0"/>
        <v>388</v>
      </c>
      <c r="L41">
        <f t="shared" si="1"/>
        <v>0.17321428571428571</v>
      </c>
    </row>
    <row r="42" spans="1:12" x14ac:dyDescent="0.25">
      <c r="A42">
        <v>1753</v>
      </c>
      <c r="B42" t="s">
        <v>102</v>
      </c>
      <c r="C42" t="s">
        <v>77</v>
      </c>
      <c r="D42" t="s">
        <v>33</v>
      </c>
      <c r="H42">
        <v>639</v>
      </c>
      <c r="J42">
        <f t="shared" si="0"/>
        <v>639</v>
      </c>
      <c r="L42">
        <f t="shared" si="1"/>
        <v>0.28526785714285713</v>
      </c>
    </row>
    <row r="43" spans="1:12" x14ac:dyDescent="0.25">
      <c r="A43">
        <v>1753</v>
      </c>
      <c r="B43" t="s">
        <v>20</v>
      </c>
      <c r="C43" t="s">
        <v>77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1753</v>
      </c>
      <c r="B44" t="s">
        <v>21</v>
      </c>
      <c r="C44" t="s">
        <v>77</v>
      </c>
      <c r="D44" t="s">
        <v>33</v>
      </c>
      <c r="H44">
        <v>16</v>
      </c>
      <c r="J44">
        <f t="shared" si="0"/>
        <v>16</v>
      </c>
      <c r="L44">
        <f t="shared" si="1"/>
        <v>7.1428571428571426E-3</v>
      </c>
    </row>
    <row r="45" spans="1:12" x14ac:dyDescent="0.25">
      <c r="A45">
        <v>1753</v>
      </c>
      <c r="B45" t="s">
        <v>22</v>
      </c>
      <c r="C45" t="s">
        <v>77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1753</v>
      </c>
      <c r="B46" t="s">
        <v>63</v>
      </c>
      <c r="C46" t="s">
        <v>77</v>
      </c>
      <c r="D46" t="s">
        <v>33</v>
      </c>
      <c r="E46">
        <v>78</v>
      </c>
      <c r="J46">
        <f t="shared" si="0"/>
        <v>174720</v>
      </c>
      <c r="L46">
        <f t="shared" si="1"/>
        <v>78</v>
      </c>
    </row>
    <row r="47" spans="1:12" x14ac:dyDescent="0.25">
      <c r="A47">
        <v>1753</v>
      </c>
      <c r="B47" t="s">
        <v>91</v>
      </c>
      <c r="C47" t="s">
        <v>77</v>
      </c>
      <c r="D47" t="s">
        <v>33</v>
      </c>
      <c r="E47">
        <v>91.5</v>
      </c>
      <c r="J47">
        <f t="shared" si="0"/>
        <v>204960</v>
      </c>
      <c r="L47">
        <f t="shared" si="1"/>
        <v>91.5</v>
      </c>
    </row>
    <row r="48" spans="1:12" x14ac:dyDescent="0.25">
      <c r="A48">
        <v>1753</v>
      </c>
      <c r="B48" t="s">
        <v>64</v>
      </c>
      <c r="C48" t="s">
        <v>77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1753</v>
      </c>
      <c r="B49" t="s">
        <v>65</v>
      </c>
      <c r="C49" t="s">
        <v>77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1753</v>
      </c>
      <c r="B50" t="s">
        <v>73</v>
      </c>
      <c r="C50" t="s">
        <v>77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1753</v>
      </c>
      <c r="B51" t="s">
        <v>66</v>
      </c>
      <c r="C51" t="s">
        <v>77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1753</v>
      </c>
      <c r="B52" t="s">
        <v>67</v>
      </c>
      <c r="C52" t="s">
        <v>77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1753</v>
      </c>
      <c r="B53" t="s">
        <v>5</v>
      </c>
      <c r="C53" t="s">
        <v>77</v>
      </c>
      <c r="D53" t="s">
        <v>33</v>
      </c>
      <c r="G53">
        <v>1</v>
      </c>
      <c r="H53">
        <v>12</v>
      </c>
      <c r="J53">
        <f t="shared" si="0"/>
        <v>40</v>
      </c>
      <c r="L53">
        <f t="shared" si="1"/>
        <v>1.7857142857142856E-2</v>
      </c>
    </row>
    <row r="54" spans="1:12" x14ac:dyDescent="0.25">
      <c r="A54">
        <v>1753</v>
      </c>
      <c r="B54" t="s">
        <v>6</v>
      </c>
      <c r="C54" t="s">
        <v>77</v>
      </c>
      <c r="D54" t="s">
        <v>35</v>
      </c>
      <c r="F54">
        <v>17720</v>
      </c>
      <c r="G54">
        <v>2</v>
      </c>
      <c r="J54">
        <f t="shared" si="0"/>
        <v>1984696</v>
      </c>
      <c r="L54">
        <f t="shared" si="1"/>
        <v>886.02499999999998</v>
      </c>
    </row>
    <row r="55" spans="1:12" x14ac:dyDescent="0.25">
      <c r="A55">
        <v>1753</v>
      </c>
      <c r="B55" t="s">
        <v>7</v>
      </c>
      <c r="C55" t="s">
        <v>77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1753</v>
      </c>
      <c r="B56" t="s">
        <v>8</v>
      </c>
      <c r="C56" t="s">
        <v>77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1753</v>
      </c>
      <c r="B57" t="s">
        <v>9</v>
      </c>
      <c r="C57" t="s">
        <v>77</v>
      </c>
      <c r="D57" t="s">
        <v>35</v>
      </c>
      <c r="H57">
        <f>999.5*200</f>
        <v>199900</v>
      </c>
      <c r="I57" t="s">
        <v>154</v>
      </c>
      <c r="J57">
        <f t="shared" si="0"/>
        <v>199900</v>
      </c>
      <c r="L57">
        <f t="shared" si="1"/>
        <v>89.241071428571431</v>
      </c>
    </row>
    <row r="58" spans="1:12" x14ac:dyDescent="0.25">
      <c r="A58">
        <v>1753</v>
      </c>
      <c r="B58" t="s">
        <v>10</v>
      </c>
      <c r="C58" t="s">
        <v>77</v>
      </c>
      <c r="D58" t="s">
        <v>35</v>
      </c>
      <c r="F58">
        <v>12</v>
      </c>
      <c r="J58">
        <f t="shared" si="0"/>
        <v>1344</v>
      </c>
      <c r="L58">
        <f t="shared" si="1"/>
        <v>0.6</v>
      </c>
    </row>
    <row r="59" spans="1:12" x14ac:dyDescent="0.25">
      <c r="A59">
        <v>1753</v>
      </c>
      <c r="B59" t="s">
        <v>11</v>
      </c>
      <c r="C59" t="s">
        <v>77</v>
      </c>
      <c r="D59" t="s">
        <v>35</v>
      </c>
      <c r="F59">
        <v>62</v>
      </c>
      <c r="G59">
        <v>1</v>
      </c>
      <c r="H59">
        <v>20</v>
      </c>
      <c r="J59">
        <f t="shared" si="0"/>
        <v>6992</v>
      </c>
      <c r="L59">
        <f t="shared" si="1"/>
        <v>3.1214285714285714</v>
      </c>
    </row>
    <row r="60" spans="1:12" x14ac:dyDescent="0.25">
      <c r="A60">
        <v>1753</v>
      </c>
      <c r="B60" t="s">
        <v>12</v>
      </c>
      <c r="C60" t="s">
        <v>77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1753</v>
      </c>
      <c r="B61" t="s">
        <v>13</v>
      </c>
      <c r="C61" t="s">
        <v>77</v>
      </c>
      <c r="D61" t="s">
        <v>35</v>
      </c>
      <c r="E61">
        <v>28</v>
      </c>
      <c r="F61">
        <v>4</v>
      </c>
      <c r="H61">
        <v>24</v>
      </c>
      <c r="J61">
        <f t="shared" si="0"/>
        <v>63192</v>
      </c>
      <c r="L61">
        <f t="shared" si="1"/>
        <v>28.210714285714285</v>
      </c>
    </row>
    <row r="62" spans="1:12" x14ac:dyDescent="0.25">
      <c r="A62">
        <v>1753</v>
      </c>
      <c r="B62" t="s">
        <v>14</v>
      </c>
      <c r="C62" t="s">
        <v>77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1753</v>
      </c>
      <c r="B63" t="s">
        <v>27</v>
      </c>
      <c r="C63" t="s">
        <v>77</v>
      </c>
      <c r="D63" t="s">
        <v>35</v>
      </c>
      <c r="H63">
        <v>2520.5</v>
      </c>
      <c r="I63" t="s">
        <v>153</v>
      </c>
      <c r="J63">
        <f t="shared" si="0"/>
        <v>2520.5</v>
      </c>
      <c r="L63">
        <f t="shared" si="1"/>
        <v>1.1252232142857144</v>
      </c>
    </row>
    <row r="64" spans="1:12" x14ac:dyDescent="0.25">
      <c r="A64">
        <v>1753</v>
      </c>
      <c r="B64" t="s">
        <v>15</v>
      </c>
      <c r="C64" t="s">
        <v>77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1753</v>
      </c>
      <c r="B65" t="s">
        <v>49</v>
      </c>
      <c r="C65" t="s">
        <v>77</v>
      </c>
      <c r="D65" t="s">
        <v>35</v>
      </c>
      <c r="H65">
        <v>240</v>
      </c>
      <c r="I65" t="s">
        <v>151</v>
      </c>
      <c r="J65">
        <f t="shared" si="0"/>
        <v>240</v>
      </c>
      <c r="L65">
        <f t="shared" si="1"/>
        <v>0.10714285714285714</v>
      </c>
    </row>
    <row r="66" spans="1:12" x14ac:dyDescent="0.25">
      <c r="A66">
        <v>1753</v>
      </c>
      <c r="B66" t="s">
        <v>17</v>
      </c>
      <c r="C66" t="s">
        <v>77</v>
      </c>
      <c r="D66" t="s">
        <v>35</v>
      </c>
      <c r="F66">
        <v>630</v>
      </c>
      <c r="G66">
        <v>3</v>
      </c>
      <c r="H66">
        <v>14</v>
      </c>
      <c r="J66">
        <f t="shared" si="0"/>
        <v>70658</v>
      </c>
      <c r="L66">
        <f t="shared" si="1"/>
        <v>31.543749999999999</v>
      </c>
    </row>
    <row r="67" spans="1:12" x14ac:dyDescent="0.25">
      <c r="A67">
        <v>1753</v>
      </c>
      <c r="B67" t="s">
        <v>18</v>
      </c>
      <c r="C67" t="s">
        <v>77</v>
      </c>
      <c r="D67" t="s">
        <v>35</v>
      </c>
      <c r="H67">
        <v>121581</v>
      </c>
      <c r="I67" t="s">
        <v>152</v>
      </c>
      <c r="J67">
        <f t="shared" si="0"/>
        <v>121581</v>
      </c>
      <c r="L67">
        <f t="shared" si="1"/>
        <v>54.277232142857144</v>
      </c>
    </row>
    <row r="68" spans="1:12" x14ac:dyDescent="0.25">
      <c r="A68">
        <v>1753</v>
      </c>
      <c r="B68" t="s">
        <v>19</v>
      </c>
      <c r="C68" t="s">
        <v>77</v>
      </c>
      <c r="D68" t="s">
        <v>35</v>
      </c>
      <c r="F68">
        <v>11</v>
      </c>
      <c r="H68">
        <v>4</v>
      </c>
      <c r="J68">
        <f t="shared" si="0"/>
        <v>1236</v>
      </c>
      <c r="L68">
        <f t="shared" si="1"/>
        <v>0.55178571428571432</v>
      </c>
    </row>
    <row r="69" spans="1:12" x14ac:dyDescent="0.25">
      <c r="A69">
        <v>1753</v>
      </c>
      <c r="B69" t="s">
        <v>56</v>
      </c>
      <c r="C69" t="s">
        <v>77</v>
      </c>
      <c r="D69" t="s">
        <v>35</v>
      </c>
      <c r="H69">
        <v>80</v>
      </c>
      <c r="J69">
        <f t="shared" si="0"/>
        <v>80</v>
      </c>
      <c r="L69">
        <f t="shared" si="1"/>
        <v>3.5714285714285712E-2</v>
      </c>
    </row>
    <row r="70" spans="1:12" x14ac:dyDescent="0.25">
      <c r="A70">
        <v>1753</v>
      </c>
      <c r="B70" t="s">
        <v>102</v>
      </c>
      <c r="C70" t="s">
        <v>77</v>
      </c>
      <c r="D70" t="s">
        <v>35</v>
      </c>
      <c r="H70">
        <v>58</v>
      </c>
      <c r="J70">
        <f t="shared" si="0"/>
        <v>58</v>
      </c>
      <c r="L70">
        <f t="shared" si="1"/>
        <v>2.5892857142857145E-2</v>
      </c>
    </row>
    <row r="71" spans="1:12" x14ac:dyDescent="0.25">
      <c r="A71">
        <v>1753</v>
      </c>
      <c r="B71" t="s">
        <v>20</v>
      </c>
      <c r="C71" t="s">
        <v>77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1753</v>
      </c>
      <c r="B72" t="s">
        <v>21</v>
      </c>
      <c r="C72" t="s">
        <v>77</v>
      </c>
      <c r="D72" t="s">
        <v>35</v>
      </c>
      <c r="H72">
        <v>34</v>
      </c>
      <c r="J72">
        <f t="shared" ref="J72:J77" si="2">(E72*2240)+(F72*112)+(G72*28)+H72</f>
        <v>34</v>
      </c>
      <c r="L72">
        <f t="shared" ref="L72:L77" si="3">J72/2240</f>
        <v>1.5178571428571428E-2</v>
      </c>
    </row>
    <row r="73" spans="1:12" x14ac:dyDescent="0.25">
      <c r="A73">
        <v>1753</v>
      </c>
      <c r="B73" t="s">
        <v>22</v>
      </c>
      <c r="C73" t="s">
        <v>77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1753</v>
      </c>
      <c r="B74" t="s">
        <v>114</v>
      </c>
      <c r="C74" t="s">
        <v>77</v>
      </c>
      <c r="D74" t="s">
        <v>35</v>
      </c>
      <c r="E74">
        <v>6</v>
      </c>
      <c r="F74">
        <v>19</v>
      </c>
      <c r="J74">
        <f t="shared" si="2"/>
        <v>15568</v>
      </c>
      <c r="L74">
        <f t="shared" si="3"/>
        <v>6.95</v>
      </c>
    </row>
    <row r="75" spans="1:12" x14ac:dyDescent="0.25">
      <c r="A75">
        <v>1753</v>
      </c>
      <c r="B75" t="s">
        <v>91</v>
      </c>
      <c r="C75" t="s">
        <v>77</v>
      </c>
      <c r="D75" t="s">
        <v>35</v>
      </c>
      <c r="E75">
        <v>56</v>
      </c>
      <c r="J75">
        <f t="shared" si="2"/>
        <v>125440</v>
      </c>
      <c r="L75">
        <f t="shared" si="3"/>
        <v>56</v>
      </c>
    </row>
    <row r="76" spans="1:12" x14ac:dyDescent="0.25">
      <c r="A76">
        <v>1753</v>
      </c>
      <c r="B76" t="s">
        <v>64</v>
      </c>
      <c r="C76" t="s">
        <v>77</v>
      </c>
      <c r="D76" t="s">
        <v>35</v>
      </c>
      <c r="E76">
        <v>26</v>
      </c>
      <c r="F76">
        <v>10</v>
      </c>
      <c r="J76">
        <f t="shared" si="2"/>
        <v>59360</v>
      </c>
      <c r="L76">
        <f t="shared" si="3"/>
        <v>26.5</v>
      </c>
    </row>
    <row r="77" spans="1:12" x14ac:dyDescent="0.25">
      <c r="A77">
        <v>1753</v>
      </c>
      <c r="B77" t="s">
        <v>66</v>
      </c>
      <c r="C77" t="s">
        <v>77</v>
      </c>
      <c r="D77" t="s">
        <v>35</v>
      </c>
      <c r="J77">
        <f t="shared" si="2"/>
        <v>0</v>
      </c>
      <c r="L77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L73"/>
  <sheetViews>
    <sheetView topLeftCell="A23" workbookViewId="0">
      <selection activeCell="H57" sqref="H57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1753</v>
      </c>
      <c r="B2" t="s">
        <v>57</v>
      </c>
      <c r="C2" t="s">
        <v>101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1753</v>
      </c>
      <c r="B3" t="s">
        <v>59</v>
      </c>
      <c r="C3" t="s">
        <v>101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2" x14ac:dyDescent="0.25">
      <c r="A4">
        <v>1753</v>
      </c>
      <c r="B4" t="s">
        <v>38</v>
      </c>
      <c r="C4" t="s">
        <v>101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1753</v>
      </c>
      <c r="B5" t="s">
        <v>4</v>
      </c>
      <c r="C5" t="s">
        <v>101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1753</v>
      </c>
      <c r="B6" t="s">
        <v>60</v>
      </c>
      <c r="C6" t="s">
        <v>101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1753</v>
      </c>
      <c r="B7" t="s">
        <v>71</v>
      </c>
      <c r="C7" t="s">
        <v>101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1753</v>
      </c>
      <c r="B8" t="s">
        <v>45</v>
      </c>
      <c r="C8" t="s">
        <v>101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1753</v>
      </c>
      <c r="B9" t="s">
        <v>5</v>
      </c>
      <c r="C9" t="s">
        <v>101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1753</v>
      </c>
      <c r="B10" t="s">
        <v>61</v>
      </c>
      <c r="C10" t="s">
        <v>101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1753</v>
      </c>
      <c r="B11" t="s">
        <v>6</v>
      </c>
      <c r="C11" t="s">
        <v>101</v>
      </c>
      <c r="D11" t="s">
        <v>33</v>
      </c>
      <c r="F11">
        <v>2130</v>
      </c>
      <c r="G11">
        <v>2</v>
      </c>
      <c r="H11">
        <v>4</v>
      </c>
      <c r="J11">
        <f t="shared" si="0"/>
        <v>238620</v>
      </c>
      <c r="L11">
        <f t="shared" si="1"/>
        <v>106.52678571428571</v>
      </c>
    </row>
    <row r="12" spans="1:12" x14ac:dyDescent="0.25">
      <c r="A12">
        <v>1753</v>
      </c>
      <c r="B12" t="s">
        <v>62</v>
      </c>
      <c r="C12" t="s">
        <v>101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1753</v>
      </c>
      <c r="B13" t="s">
        <v>40</v>
      </c>
      <c r="C13" t="s">
        <v>101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1753</v>
      </c>
      <c r="B14" t="s">
        <v>39</v>
      </c>
      <c r="C14" t="s">
        <v>101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1753</v>
      </c>
      <c r="B15" t="s">
        <v>8</v>
      </c>
      <c r="C15" t="s">
        <v>101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1753</v>
      </c>
      <c r="B16" t="s">
        <v>42</v>
      </c>
      <c r="C16" t="s">
        <v>101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1753</v>
      </c>
      <c r="B17" t="s">
        <v>99</v>
      </c>
      <c r="C17" t="s">
        <v>101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1753</v>
      </c>
      <c r="B18" t="s">
        <v>48</v>
      </c>
      <c r="C18" t="s">
        <v>101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1753</v>
      </c>
      <c r="B19" t="s">
        <v>9</v>
      </c>
      <c r="C19" t="s">
        <v>101</v>
      </c>
      <c r="D19" t="s">
        <v>33</v>
      </c>
      <c r="H19">
        <f>814*200</f>
        <v>162800</v>
      </c>
      <c r="I19" t="s">
        <v>136</v>
      </c>
      <c r="J19">
        <f t="shared" si="0"/>
        <v>162800</v>
      </c>
      <c r="L19">
        <f t="shared" si="1"/>
        <v>72.678571428571431</v>
      </c>
    </row>
    <row r="20" spans="1:12" x14ac:dyDescent="0.25">
      <c r="A20">
        <v>1753</v>
      </c>
      <c r="B20" t="s">
        <v>10</v>
      </c>
      <c r="C20" t="s">
        <v>101</v>
      </c>
      <c r="D20" t="s">
        <v>33</v>
      </c>
      <c r="F20">
        <v>8</v>
      </c>
      <c r="J20">
        <f t="shared" si="0"/>
        <v>896</v>
      </c>
      <c r="L20">
        <f t="shared" si="1"/>
        <v>0.4</v>
      </c>
    </row>
    <row r="21" spans="1:12" x14ac:dyDescent="0.25">
      <c r="A21">
        <v>1753</v>
      </c>
      <c r="B21" t="s">
        <v>11</v>
      </c>
      <c r="C21" t="s">
        <v>101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1753</v>
      </c>
      <c r="B22" t="s">
        <v>41</v>
      </c>
      <c r="C22" t="s">
        <v>101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1753</v>
      </c>
      <c r="B23" t="s">
        <v>46</v>
      </c>
      <c r="C23" t="s">
        <v>101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1753</v>
      </c>
      <c r="B24" t="s">
        <v>12</v>
      </c>
      <c r="C24" t="s">
        <v>101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1753</v>
      </c>
      <c r="B25" t="s">
        <v>34</v>
      </c>
      <c r="C25" t="s">
        <v>101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1753</v>
      </c>
      <c r="B26" t="s">
        <v>13</v>
      </c>
      <c r="C26" t="s">
        <v>101</v>
      </c>
      <c r="D26" t="s">
        <v>33</v>
      </c>
      <c r="E26">
        <v>1</v>
      </c>
      <c r="J26">
        <f t="shared" si="0"/>
        <v>2240</v>
      </c>
      <c r="L26">
        <f t="shared" si="1"/>
        <v>1</v>
      </c>
    </row>
    <row r="27" spans="1:12" x14ac:dyDescent="0.25">
      <c r="A27">
        <v>1753</v>
      </c>
      <c r="B27" t="s">
        <v>14</v>
      </c>
      <c r="C27" t="s">
        <v>101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1753</v>
      </c>
      <c r="B28" t="s">
        <v>23</v>
      </c>
      <c r="C28" t="s">
        <v>101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1753</v>
      </c>
      <c r="B29" t="s">
        <v>27</v>
      </c>
      <c r="C29" t="s">
        <v>101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1753</v>
      </c>
      <c r="B30" t="s">
        <v>15</v>
      </c>
      <c r="C30" t="s">
        <v>101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1753</v>
      </c>
      <c r="B31" t="s">
        <v>44</v>
      </c>
      <c r="C31" t="s">
        <v>101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1753</v>
      </c>
      <c r="B32" t="s">
        <v>49</v>
      </c>
      <c r="C32" t="s">
        <v>101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1753</v>
      </c>
      <c r="B33" t="s">
        <v>16</v>
      </c>
      <c r="C33" t="s">
        <v>101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1753</v>
      </c>
      <c r="B34" t="s">
        <v>100</v>
      </c>
      <c r="C34" t="s">
        <v>101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1753</v>
      </c>
      <c r="B35" t="s">
        <v>17</v>
      </c>
      <c r="C35" t="s">
        <v>101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1753</v>
      </c>
      <c r="B36" t="s">
        <v>18</v>
      </c>
      <c r="C36" t="s">
        <v>101</v>
      </c>
      <c r="D36" t="s">
        <v>33</v>
      </c>
      <c r="H36">
        <v>300</v>
      </c>
      <c r="I36" t="s">
        <v>135</v>
      </c>
      <c r="J36">
        <f t="shared" si="0"/>
        <v>300</v>
      </c>
      <c r="L36">
        <f t="shared" si="1"/>
        <v>0.13392857142857142</v>
      </c>
    </row>
    <row r="37" spans="1:12" x14ac:dyDescent="0.25">
      <c r="A37">
        <v>1753</v>
      </c>
      <c r="B37" t="s">
        <v>72</v>
      </c>
      <c r="C37" t="s">
        <v>101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1753</v>
      </c>
      <c r="B38" t="s">
        <v>19</v>
      </c>
      <c r="C38" t="s">
        <v>101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1753</v>
      </c>
      <c r="B39" t="s">
        <v>47</v>
      </c>
      <c r="C39" t="s">
        <v>101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1753</v>
      </c>
      <c r="B40" t="s">
        <v>56</v>
      </c>
      <c r="C40" t="s">
        <v>101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1753</v>
      </c>
      <c r="B41" t="s">
        <v>90</v>
      </c>
      <c r="C41" t="s">
        <v>101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1753</v>
      </c>
      <c r="B42" t="s">
        <v>20</v>
      </c>
      <c r="C42" t="s">
        <v>101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1753</v>
      </c>
      <c r="B43" t="s">
        <v>21</v>
      </c>
      <c r="C43" t="s">
        <v>101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1753</v>
      </c>
      <c r="B44" t="s">
        <v>22</v>
      </c>
      <c r="C44" t="s">
        <v>101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1753</v>
      </c>
      <c r="B45" t="s">
        <v>63</v>
      </c>
      <c r="C45" t="s">
        <v>101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1753</v>
      </c>
      <c r="B46" t="s">
        <v>91</v>
      </c>
      <c r="C46" t="s">
        <v>101</v>
      </c>
      <c r="D46" t="s">
        <v>33</v>
      </c>
      <c r="E46">
        <v>9</v>
      </c>
      <c r="J46">
        <f t="shared" si="0"/>
        <v>20160</v>
      </c>
      <c r="L46">
        <f t="shared" si="1"/>
        <v>9</v>
      </c>
    </row>
    <row r="47" spans="1:12" x14ac:dyDescent="0.25">
      <c r="A47">
        <v>1753</v>
      </c>
      <c r="B47" t="s">
        <v>64</v>
      </c>
      <c r="C47" t="s">
        <v>101</v>
      </c>
      <c r="D47" t="s">
        <v>33</v>
      </c>
      <c r="E47">
        <v>30</v>
      </c>
      <c r="J47">
        <f t="shared" si="0"/>
        <v>67200</v>
      </c>
      <c r="L47">
        <f t="shared" si="1"/>
        <v>30</v>
      </c>
    </row>
    <row r="48" spans="1:12" x14ac:dyDescent="0.25">
      <c r="A48">
        <v>1753</v>
      </c>
      <c r="B48" t="s">
        <v>65</v>
      </c>
      <c r="C48" t="s">
        <v>101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1753</v>
      </c>
      <c r="B49" t="s">
        <v>73</v>
      </c>
      <c r="C49" t="s">
        <v>101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1753</v>
      </c>
      <c r="B50" t="s">
        <v>66</v>
      </c>
      <c r="C50" t="s">
        <v>101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1753</v>
      </c>
      <c r="B51" t="s">
        <v>67</v>
      </c>
      <c r="C51" t="s">
        <v>101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1753</v>
      </c>
      <c r="B52" t="s">
        <v>5</v>
      </c>
      <c r="C52" t="s">
        <v>101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1753</v>
      </c>
      <c r="B53" t="s">
        <v>6</v>
      </c>
      <c r="C53" t="s">
        <v>101</v>
      </c>
      <c r="D53" t="s">
        <v>35</v>
      </c>
      <c r="F53">
        <v>3768</v>
      </c>
      <c r="G53">
        <v>1</v>
      </c>
      <c r="H53">
        <v>16</v>
      </c>
      <c r="J53">
        <f t="shared" si="0"/>
        <v>422060</v>
      </c>
      <c r="L53">
        <f t="shared" si="1"/>
        <v>188.41964285714286</v>
      </c>
    </row>
    <row r="54" spans="1:12" x14ac:dyDescent="0.25">
      <c r="A54">
        <v>1753</v>
      </c>
      <c r="B54" t="s">
        <v>7</v>
      </c>
      <c r="C54" t="s">
        <v>101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1753</v>
      </c>
      <c r="B55" t="s">
        <v>8</v>
      </c>
      <c r="C55" t="s">
        <v>101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1753</v>
      </c>
      <c r="B56" t="s">
        <v>9</v>
      </c>
      <c r="C56" t="s">
        <v>101</v>
      </c>
      <c r="D56" t="s">
        <v>35</v>
      </c>
      <c r="H56">
        <f>1721.5*200</f>
        <v>344300</v>
      </c>
      <c r="I56" t="s">
        <v>156</v>
      </c>
      <c r="J56">
        <f>(E56*2240)+(F56*112)+(G56*28)+H56</f>
        <v>344300</v>
      </c>
      <c r="L56">
        <f t="shared" si="1"/>
        <v>153.70535714285714</v>
      </c>
    </row>
    <row r="57" spans="1:12" x14ac:dyDescent="0.25">
      <c r="A57">
        <v>1753</v>
      </c>
      <c r="B57" t="s">
        <v>10</v>
      </c>
      <c r="C57" t="s">
        <v>101</v>
      </c>
      <c r="D57" t="s">
        <v>35</v>
      </c>
      <c r="F57">
        <v>12</v>
      </c>
      <c r="H57">
        <v>24</v>
      </c>
      <c r="J57">
        <f>(E57*2240)+(F57*112)+(G57*28)+H57</f>
        <v>1368</v>
      </c>
      <c r="L57">
        <f t="shared" si="1"/>
        <v>0.61071428571428577</v>
      </c>
    </row>
    <row r="58" spans="1:12" x14ac:dyDescent="0.25">
      <c r="A58">
        <v>1753</v>
      </c>
      <c r="B58" t="s">
        <v>11</v>
      </c>
      <c r="C58" t="s">
        <v>101</v>
      </c>
      <c r="D58" t="s">
        <v>35</v>
      </c>
      <c r="F58">
        <v>29</v>
      </c>
      <c r="G58">
        <v>2</v>
      </c>
      <c r="H58">
        <v>4</v>
      </c>
      <c r="J58">
        <f t="shared" si="0"/>
        <v>3308</v>
      </c>
      <c r="L58">
        <f t="shared" si="1"/>
        <v>1.4767857142857144</v>
      </c>
    </row>
    <row r="59" spans="1:12" x14ac:dyDescent="0.25">
      <c r="A59">
        <v>1753</v>
      </c>
      <c r="B59" t="s">
        <v>129</v>
      </c>
      <c r="C59" t="s">
        <v>101</v>
      </c>
      <c r="D59" t="s">
        <v>35</v>
      </c>
      <c r="H59">
        <v>54</v>
      </c>
      <c r="J59">
        <f t="shared" si="0"/>
        <v>54</v>
      </c>
      <c r="L59">
        <f t="shared" si="1"/>
        <v>2.4107142857142858E-2</v>
      </c>
    </row>
    <row r="60" spans="1:12" x14ac:dyDescent="0.25">
      <c r="A60">
        <v>1753</v>
      </c>
      <c r="B60" t="s">
        <v>12</v>
      </c>
      <c r="C60" t="s">
        <v>101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1753</v>
      </c>
      <c r="B61" t="s">
        <v>13</v>
      </c>
      <c r="C61" t="s">
        <v>101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1753</v>
      </c>
      <c r="B62" t="s">
        <v>14</v>
      </c>
      <c r="C62" t="s">
        <v>101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1753</v>
      </c>
      <c r="B63" t="s">
        <v>27</v>
      </c>
      <c r="C63" t="s">
        <v>101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1753</v>
      </c>
      <c r="B64" t="s">
        <v>15</v>
      </c>
      <c r="C64" t="s">
        <v>101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1753</v>
      </c>
      <c r="B65" t="s">
        <v>17</v>
      </c>
      <c r="C65" t="s">
        <v>101</v>
      </c>
      <c r="D65" t="s">
        <v>35</v>
      </c>
      <c r="F65">
        <v>7</v>
      </c>
      <c r="J65">
        <f t="shared" si="0"/>
        <v>784</v>
      </c>
      <c r="L65">
        <f t="shared" si="1"/>
        <v>0.35</v>
      </c>
    </row>
    <row r="66" spans="1:12" x14ac:dyDescent="0.25">
      <c r="A66">
        <v>1753</v>
      </c>
      <c r="B66" t="s">
        <v>18</v>
      </c>
      <c r="C66" t="s">
        <v>101</v>
      </c>
      <c r="D66" t="s">
        <v>35</v>
      </c>
      <c r="H66">
        <v>3611</v>
      </c>
      <c r="I66" t="s">
        <v>155</v>
      </c>
      <c r="J66">
        <f t="shared" si="0"/>
        <v>3611</v>
      </c>
      <c r="L66">
        <f t="shared" si="1"/>
        <v>1.6120535714285715</v>
      </c>
    </row>
    <row r="67" spans="1:12" x14ac:dyDescent="0.25">
      <c r="A67">
        <v>1753</v>
      </c>
      <c r="B67" t="s">
        <v>19</v>
      </c>
      <c r="C67" t="s">
        <v>101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1753</v>
      </c>
      <c r="B68" t="s">
        <v>56</v>
      </c>
      <c r="C68" t="s">
        <v>101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1753</v>
      </c>
      <c r="B69" t="s">
        <v>21</v>
      </c>
      <c r="C69" t="s">
        <v>101</v>
      </c>
      <c r="D69" t="s">
        <v>35</v>
      </c>
      <c r="I69">
        <v>39</v>
      </c>
      <c r="J69">
        <f t="shared" si="0"/>
        <v>0</v>
      </c>
      <c r="L69">
        <f t="shared" si="1"/>
        <v>0</v>
      </c>
    </row>
    <row r="70" spans="1:12" x14ac:dyDescent="0.25">
      <c r="A70">
        <v>1753</v>
      </c>
      <c r="B70" t="s">
        <v>22</v>
      </c>
      <c r="C70" t="s">
        <v>101</v>
      </c>
      <c r="D70" t="s">
        <v>35</v>
      </c>
      <c r="J70">
        <f t="shared" ref="J70:J73" si="2">(E70*2240)+(F70*112)+(G70*28)+H70</f>
        <v>0</v>
      </c>
      <c r="L70">
        <f t="shared" ref="L70:L73" si="3">J70/2240</f>
        <v>0</v>
      </c>
    </row>
    <row r="71" spans="1:12" x14ac:dyDescent="0.25">
      <c r="A71">
        <v>1753</v>
      </c>
      <c r="B71" t="s">
        <v>91</v>
      </c>
      <c r="C71" t="s">
        <v>101</v>
      </c>
      <c r="D71" t="s">
        <v>35</v>
      </c>
      <c r="E71">
        <v>3</v>
      </c>
      <c r="J71">
        <f t="shared" si="2"/>
        <v>6720</v>
      </c>
      <c r="L71">
        <f t="shared" si="3"/>
        <v>3</v>
      </c>
    </row>
    <row r="72" spans="1:12" x14ac:dyDescent="0.25">
      <c r="A72">
        <v>1753</v>
      </c>
      <c r="B72" t="s">
        <v>64</v>
      </c>
      <c r="C72" t="s">
        <v>101</v>
      </c>
      <c r="D72" t="s">
        <v>35</v>
      </c>
      <c r="E72">
        <v>53</v>
      </c>
      <c r="F72">
        <v>8</v>
      </c>
      <c r="G72">
        <v>2</v>
      </c>
      <c r="H72">
        <v>7</v>
      </c>
      <c r="J72">
        <f t="shared" si="2"/>
        <v>119679</v>
      </c>
      <c r="L72">
        <f t="shared" si="3"/>
        <v>53.428125000000001</v>
      </c>
    </row>
    <row r="73" spans="1:12" x14ac:dyDescent="0.25">
      <c r="A73">
        <v>1753</v>
      </c>
      <c r="B73" t="s">
        <v>66</v>
      </c>
      <c r="C73" t="s">
        <v>101</v>
      </c>
      <c r="D73" t="s">
        <v>35</v>
      </c>
      <c r="J73">
        <f t="shared" si="2"/>
        <v>0</v>
      </c>
      <c r="L73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5B0369-6AE5-4710-A542-EF83D1550A13}">
  <ds:schemaRefs>
    <ds:schemaRef ds:uri="http://schemas.microsoft.com/office/2006/metadata/properties"/>
    <ds:schemaRef ds:uri="cefc4363-6422-4cdd-96f6-49f865293ffe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AD6C49D9-F36A-4C3F-843F-D59696BC49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804D5-6D5C-491F-A005-6477727EDB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