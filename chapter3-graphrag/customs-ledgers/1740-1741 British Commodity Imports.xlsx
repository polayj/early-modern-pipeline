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15" documentId="8_{3060F156-D4D2-4408-9BBC-C4C0191FD9B9}" xr6:coauthVersionLast="47" xr6:coauthVersionMax="47" xr10:uidLastSave="{E53D92EA-86F7-438D-A7F2-3F4042682CA2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Barbados!$A$1:$N$56</definedName>
    <definedName name="_xlnm._FilterDatabase" localSheetId="5" hidden="1">Jamaica!$A$1:$O$63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8" l="1"/>
  <c r="H83" i="6"/>
  <c r="H88" i="5"/>
  <c r="H96" i="5"/>
  <c r="H68" i="3"/>
  <c r="L97" i="3"/>
  <c r="J97" i="3"/>
  <c r="H87" i="2"/>
  <c r="H22" i="8"/>
  <c r="H22" i="7"/>
  <c r="H22" i="6"/>
  <c r="H24" i="5"/>
  <c r="J8" i="5"/>
  <c r="L8" i="5" s="1"/>
  <c r="H5" i="4"/>
  <c r="J15" i="4"/>
  <c r="L15" i="4" s="1"/>
  <c r="H20" i="3"/>
  <c r="J7" i="3"/>
  <c r="L7" i="3" s="1"/>
  <c r="J18" i="3"/>
  <c r="L18" i="3" s="1"/>
  <c r="H24" i="2"/>
  <c r="L45" i="2"/>
  <c r="J45" i="2"/>
  <c r="J8" i="2"/>
  <c r="L8" i="2" s="1"/>
  <c r="J120" i="5"/>
  <c r="L120" i="5" s="1"/>
  <c r="J74" i="5"/>
  <c r="L74" i="5" s="1"/>
  <c r="J85" i="3"/>
  <c r="L85" i="3" s="1"/>
  <c r="J119" i="2"/>
  <c r="L119" i="2" s="1"/>
  <c r="L54" i="11"/>
  <c r="J54" i="11"/>
  <c r="J10" i="11"/>
  <c r="L10" i="11" s="1"/>
  <c r="J55" i="5"/>
  <c r="L55" i="5" s="1"/>
  <c r="J9" i="5"/>
  <c r="L9" i="5" s="1"/>
  <c r="J14" i="4"/>
  <c r="L14" i="4" s="1"/>
  <c r="J17" i="4"/>
  <c r="L17" i="4" s="1"/>
  <c r="J12" i="4"/>
  <c r="L12" i="4" s="1"/>
  <c r="J9" i="4"/>
  <c r="L9" i="4" s="1"/>
  <c r="J6" i="4"/>
  <c r="L6" i="4" s="1"/>
  <c r="J24" i="3"/>
  <c r="L24" i="3" s="1"/>
  <c r="J30" i="2"/>
  <c r="L30" i="2" s="1"/>
  <c r="J9" i="2"/>
  <c r="L9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L92" i="8"/>
  <c r="J92" i="8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L84" i="8"/>
  <c r="J84" i="8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L68" i="8"/>
  <c r="J68" i="8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L108" i="7"/>
  <c r="J108" i="7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L75" i="3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0" i="3"/>
  <c r="L20" i="3" s="1"/>
  <c r="J21" i="3"/>
  <c r="L21" i="3" s="1"/>
  <c r="J22" i="3"/>
  <c r="L22" i="3" s="1"/>
  <c r="J23" i="3"/>
  <c r="L23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6" i="4"/>
  <c r="L16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6" i="5"/>
  <c r="L56" i="5" s="1"/>
  <c r="J57" i="5"/>
  <c r="L57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D5" i="1" s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<sst xmlns="http://schemas.openxmlformats.org/spreadsheetml/2006/main" count="3494" uniqueCount="155">
  <si>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</si>
  <si>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</si>
  <si>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</si>
  <si>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</si>
  <si>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</si>
  <si>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</si>
  <si>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</si>
  <si>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</si>
  <si>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</si>
  <si>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</si>
  <si>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</si>
  <si>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</si>
  <si>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</si>
  <si>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</si>
  <si>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</si>
  <si>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</si>
  <si>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</si>
  <si>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</si>
  <si>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</si>
  <si>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</si>
  <si>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</si>
  <si>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</si>
  <si>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</si>
  <si>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</si>
  <si>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</si>
  <si>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</si>
  <si>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</si>
  <si>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</si>
  <si>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</si>
  <si>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</si>
  <si>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</si>
  <si>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</si>
  <si>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</si>
  <si>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</si>
  <si>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</si>
  <si>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</si>
  <si>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</si>
  <si>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</si>
  <si>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</si>
  <si>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</si>
  <si>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</si>
  <si>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</si>
  <si>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</si>
  <si>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</si>
  <si>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</si>
  <si>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</si>
  <si>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</si>
  <si>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</si>
  <si>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</si>
  <si>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</si>
  <si>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</si>
  <si>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</si>
  <si>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</si>
  <si>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</si>
  <si>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</si>
  <si>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</si>
  <si>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</si>
  <si>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</si>
  <si>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</si>
  <si>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</si>
  <si>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</si>
  <si>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</si>
  <si>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</si>
  <si>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</si>
  <si>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</si>
  <si>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</si>
  <si>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</si>
  <si>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</si>
  <si>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</si>
  <si>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</si>
  <si>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</si>
  <si>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</si>
  <si>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</si>
  <si>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</si>
  <si>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</si>
  <si>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</si>
  <si>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</si>
  <si>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</si>
  <si>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</si>
  <si>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</si>
  <si>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</si>
  <si>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</si>
  <si>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</si>
  <si>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</si>
  <si>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</si>
  <si>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</si>
  <si>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</si>
  <si>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</si>
  <si>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</si>
  <si>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</si>
  <si>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</si>
  <si>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</si>
  <si>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</si>
  <si>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</si>
  <si>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</si>
  <si>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</si>
  <si>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</si>
  <si>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</si>
  <si>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</si>
  <si>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</si>
  <si>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</si>
  <si>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</si>
  <si>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</si>
  <si>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</si>
  <si>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</si>
  <si>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</si>
  <si>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</si>
  <si>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Balsam Artificial</t>
  </si>
  <si>
    <t>10g</t>
  </si>
  <si>
    <t>44844g</t>
  </si>
  <si>
    <t>62t 3h 19g</t>
  </si>
  <si>
    <t>544bags+189lb</t>
  </si>
  <si>
    <t>Balsam Capavia</t>
  </si>
  <si>
    <t>38.5g</t>
  </si>
  <si>
    <t>15418.5g</t>
  </si>
  <si>
    <t>159t 3h 62g</t>
  </si>
  <si>
    <t>Wood, Camwood</t>
  </si>
  <si>
    <t>246bags+197lb</t>
  </si>
  <si>
    <t>1bags</t>
  </si>
  <si>
    <t>4576g</t>
  </si>
  <si>
    <t>18.5g</t>
  </si>
  <si>
    <t>179850g</t>
  </si>
  <si>
    <t>30t 2h 41g</t>
  </si>
  <si>
    <t>519bags+53lb</t>
  </si>
  <si>
    <t>4g</t>
  </si>
  <si>
    <t>3211.5g</t>
  </si>
  <si>
    <t>1h 44g</t>
  </si>
  <si>
    <t>64bags+128lb</t>
  </si>
  <si>
    <t>3g</t>
  </si>
  <si>
    <t>763g</t>
  </si>
  <si>
    <t>2t 2h 16g</t>
  </si>
  <si>
    <t>34bag+100lb</t>
  </si>
  <si>
    <t>2g</t>
  </si>
  <si>
    <t>16652g</t>
  </si>
  <si>
    <t>37t 1h</t>
  </si>
  <si>
    <t>659bags+100lb</t>
  </si>
  <si>
    <t>Jollop</t>
  </si>
  <si>
    <t>600g</t>
  </si>
  <si>
    <t>6935g</t>
  </si>
  <si>
    <t>3t 1h 16g</t>
  </si>
  <si>
    <t>732bags+15lb</t>
  </si>
  <si>
    <t>22310.6g</t>
  </si>
  <si>
    <t>3t 3h 11g</t>
  </si>
  <si>
    <t>928bags+163lb</t>
  </si>
  <si>
    <t>269g</t>
  </si>
  <si>
    <t>47928g</t>
  </si>
  <si>
    <t>10t 24g</t>
  </si>
  <si>
    <t>1674bags+154lb</t>
  </si>
  <si>
    <t>672g</t>
  </si>
  <si>
    <t>41bags</t>
  </si>
  <si>
    <t>53.5g</t>
  </si>
  <si>
    <t>25g</t>
  </si>
  <si>
    <t>11378.5g</t>
  </si>
  <si>
    <t>63g</t>
  </si>
  <si>
    <t>248bags+118lb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</si>
</sst>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8.9285714285714288E-2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8.9285714285714288E-2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3.5959821428571428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1.3272321428571427</v>
      </c>
      <c r="D3">
        <f t="shared" ref="D3:D31" si="0">B3+C3</f>
        <v>4.9232142857142858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30350.231249999997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13788.695982142859</v>
      </c>
      <c r="D4">
        <f t="shared" si="0"/>
        <v>44138.927232142858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0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0.359375</v>
      </c>
      <c r="D6">
        <f t="shared" si="0"/>
        <v>0.359375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184.89598214285712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323.73750000000001</v>
      </c>
      <c r="D7">
        <f t="shared" si="0"/>
        <v>508.63348214285713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461.68839285714284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416.55982142857141</v>
      </c>
      <c r="D8">
        <f t="shared" si="0"/>
        <v>878.24821428571431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42.742857142857147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24.854017857142857</v>
      </c>
      <c r="D9">
        <f t="shared" si="0"/>
        <v>67.596875000000011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10.492857142857142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0.86785714285714277</v>
      </c>
      <c r="D10">
        <f t="shared" si="0"/>
        <v>11.360714285714284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25.019642857142856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8.9946428571428569</v>
      </c>
      <c r="D11">
        <f t="shared" si="0"/>
        <v>34.014285714285712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20.43392857142857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1.2011160714285714</v>
      </c>
      <c r="D12">
        <f t="shared" si="0"/>
        <v>21.635044642857142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0.75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7.8732142857142859</v>
      </c>
      <c r="D13">
        <f t="shared" si="0"/>
        <v>8.6232142857142868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217.47633928571429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116.59107142857142</v>
      </c>
      <c r="D14">
        <f t="shared" si="0"/>
        <v>334.0674107142857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2.5000000000000001E-2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2.5000000000000001E-2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1166.9917410714286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401.34218749999997</v>
      </c>
      <c r="D16">
        <f t="shared" si="0"/>
        <v>1568.3339285714285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20.075446428571428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15.057142857142859</v>
      </c>
      <c r="D17">
        <f t="shared" si="0"/>
        <v>35.132589285714289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1.8379464285714286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0.12589285714285714</v>
      </c>
      <c r="D18">
        <f t="shared" si="0"/>
        <v>1.9638392857142857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2.2129464285714286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3.5816964285714286</v>
      </c>
      <c r="D19">
        <f t="shared" si="0"/>
        <v>5.7946428571428577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2.9848214285714287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0.3660714285714286</v>
      </c>
      <c r="D20">
        <f t="shared" si="0"/>
        <v>3.3508928571428571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0.43928571428571428</v>
      </c>
      <c r="D21">
        <f t="shared" si="0"/>
        <v>0.43928571428571428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7.2883928571428571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7.2883928571428571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330.52232142857139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19.750446428571426</v>
      </c>
      <c r="D26">
        <f t="shared" si="0"/>
        <v>350.27276785714281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19.518750000000001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19.518750000000001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651.27812500000005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365.22812500000003</v>
      </c>
      <c r="D28">
        <f t="shared" si="0"/>
        <v>1016.5062500000001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170.85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50.471428571428575</v>
      </c>
      <c r="D29">
        <f t="shared" si="0"/>
        <v>221.32142857142856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3.0232142857142854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31.076339285714287</v>
      </c>
      <c r="D30">
        <f t="shared" si="0"/>
        <v>34.099553571428572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1"/>
  <sheetViews>
    <sheetView topLeftCell="A107" workbookViewId="0">
      <selection activeCell="H110" sqref="H110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1741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1741</v>
      </c>
      <c r="B3" t="s">
        <v>57</v>
      </c>
      <c r="C3" t="s">
        <v>53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25">
      <c r="A4">
        <v>1741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1741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1741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1741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1741</v>
      </c>
      <c r="B8" t="s">
        <v>107</v>
      </c>
      <c r="C8" t="s">
        <v>53</v>
      </c>
      <c r="D8" t="s">
        <v>33</v>
      </c>
      <c r="H8">
        <v>5</v>
      </c>
      <c r="J8">
        <f t="shared" si="0"/>
        <v>5</v>
      </c>
      <c r="L8">
        <f t="shared" si="1"/>
        <v>2.232142857142857E-3</v>
      </c>
    </row>
    <row r="9" spans="1:15" x14ac:dyDescent="0.25">
      <c r="A9">
        <v>1741</v>
      </c>
      <c r="B9" t="s">
        <v>101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1741</v>
      </c>
      <c r="B10" t="s">
        <v>43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1741</v>
      </c>
      <c r="B11" t="s">
        <v>76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1741</v>
      </c>
      <c r="B12" t="s">
        <v>5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1741</v>
      </c>
      <c r="B13" t="s">
        <v>59</v>
      </c>
      <c r="C13" t="s">
        <v>53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1741</v>
      </c>
      <c r="B14" t="s">
        <v>6</v>
      </c>
      <c r="C14" t="s">
        <v>53</v>
      </c>
      <c r="D14" t="s">
        <v>33</v>
      </c>
      <c r="F14">
        <v>93850</v>
      </c>
      <c r="H14">
        <v>4</v>
      </c>
      <c r="J14">
        <f t="shared" si="0"/>
        <v>10511204</v>
      </c>
      <c r="L14">
        <f t="shared" si="1"/>
        <v>4692.5017857142857</v>
      </c>
    </row>
    <row r="15" spans="1:15" x14ac:dyDescent="0.25">
      <c r="A15">
        <v>1741</v>
      </c>
      <c r="B15" t="s">
        <v>96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1741</v>
      </c>
      <c r="B16" t="s">
        <v>60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1741</v>
      </c>
      <c r="B17" t="s">
        <v>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1741</v>
      </c>
      <c r="B18" t="s">
        <v>37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1741</v>
      </c>
      <c r="B19" t="s">
        <v>8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1741</v>
      </c>
      <c r="B20" t="s">
        <v>40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1741</v>
      </c>
      <c r="B21" t="s">
        <v>77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1741</v>
      </c>
      <c r="B22" t="s">
        <v>78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1741</v>
      </c>
      <c r="B23" t="s">
        <v>46</v>
      </c>
      <c r="C23" t="s">
        <v>53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1741</v>
      </c>
      <c r="B24" t="s">
        <v>9</v>
      </c>
      <c r="C24" t="s">
        <v>53</v>
      </c>
      <c r="D24" t="s">
        <v>33</v>
      </c>
      <c r="H24">
        <f>544*200+189</f>
        <v>108989</v>
      </c>
      <c r="I24" t="s">
        <v>111</v>
      </c>
      <c r="J24">
        <f t="shared" si="0"/>
        <v>108989</v>
      </c>
      <c r="L24">
        <f t="shared" si="1"/>
        <v>48.655803571428571</v>
      </c>
    </row>
    <row r="25" spans="1:12" x14ac:dyDescent="0.25">
      <c r="A25">
        <v>1741</v>
      </c>
      <c r="B25" t="s">
        <v>10</v>
      </c>
      <c r="C25" t="s">
        <v>53</v>
      </c>
      <c r="D25" t="s">
        <v>33</v>
      </c>
      <c r="F25">
        <v>425</v>
      </c>
      <c r="G25">
        <v>3</v>
      </c>
      <c r="H25">
        <v>17</v>
      </c>
      <c r="J25">
        <f t="shared" si="0"/>
        <v>47701</v>
      </c>
      <c r="L25">
        <f t="shared" si="1"/>
        <v>21.295089285714287</v>
      </c>
    </row>
    <row r="26" spans="1:12" x14ac:dyDescent="0.25">
      <c r="A26">
        <v>1741</v>
      </c>
      <c r="B26" t="s">
        <v>11</v>
      </c>
      <c r="C26" t="s">
        <v>53</v>
      </c>
      <c r="D26" t="s">
        <v>33</v>
      </c>
      <c r="G26">
        <v>2</v>
      </c>
      <c r="J26">
        <f t="shared" si="0"/>
        <v>56</v>
      </c>
      <c r="L26">
        <f t="shared" si="1"/>
        <v>2.5000000000000001E-2</v>
      </c>
    </row>
    <row r="27" spans="1:12" x14ac:dyDescent="0.25">
      <c r="A27">
        <v>1741</v>
      </c>
      <c r="B27" t="s">
        <v>39</v>
      </c>
      <c r="C27" t="s">
        <v>53</v>
      </c>
      <c r="D27" t="s">
        <v>33</v>
      </c>
      <c r="H27">
        <v>152</v>
      </c>
      <c r="J27">
        <f t="shared" si="0"/>
        <v>152</v>
      </c>
      <c r="L27">
        <f t="shared" si="1"/>
        <v>6.7857142857142852E-2</v>
      </c>
    </row>
    <row r="28" spans="1:12" x14ac:dyDescent="0.25">
      <c r="A28">
        <v>1741</v>
      </c>
      <c r="B28" t="s">
        <v>79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1741</v>
      </c>
      <c r="B29" t="s">
        <v>103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1741</v>
      </c>
      <c r="B30" t="s">
        <v>102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1741</v>
      </c>
      <c r="B31" t="s">
        <v>44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1741</v>
      </c>
      <c r="B32" t="s">
        <v>97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1741</v>
      </c>
      <c r="B33" t="s">
        <v>12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1741</v>
      </c>
      <c r="B34" t="s">
        <v>82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1741</v>
      </c>
      <c r="B35" t="s">
        <v>34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1741</v>
      </c>
      <c r="B36" t="s">
        <v>13</v>
      </c>
      <c r="C36" t="s">
        <v>53</v>
      </c>
      <c r="D36" t="s">
        <v>33</v>
      </c>
      <c r="E36">
        <v>13</v>
      </c>
      <c r="G36">
        <v>1</v>
      </c>
      <c r="H36">
        <v>16</v>
      </c>
      <c r="J36">
        <f t="shared" si="0"/>
        <v>29164</v>
      </c>
      <c r="L36">
        <f t="shared" si="1"/>
        <v>13.019642857142857</v>
      </c>
    </row>
    <row r="37" spans="1:12" x14ac:dyDescent="0.25">
      <c r="A37">
        <v>1741</v>
      </c>
      <c r="B37" t="s">
        <v>14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1741</v>
      </c>
      <c r="B38" t="s">
        <v>23</v>
      </c>
      <c r="C38" t="s">
        <v>53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1741</v>
      </c>
      <c r="B39" t="s">
        <v>27</v>
      </c>
      <c r="C39" t="s">
        <v>53</v>
      </c>
      <c r="D39" t="s">
        <v>33</v>
      </c>
      <c r="H39">
        <v>158360.5</v>
      </c>
      <c r="I39" t="s">
        <v>110</v>
      </c>
      <c r="J39">
        <f t="shared" si="0"/>
        <v>158360.5</v>
      </c>
      <c r="L39">
        <f t="shared" si="1"/>
        <v>70.69665178571428</v>
      </c>
    </row>
    <row r="40" spans="1:12" x14ac:dyDescent="0.25">
      <c r="A40">
        <v>1741</v>
      </c>
      <c r="B40" t="s">
        <v>15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1741</v>
      </c>
      <c r="B41" t="s">
        <v>42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1741</v>
      </c>
      <c r="B42" t="s">
        <v>83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1741</v>
      </c>
      <c r="B43" t="s">
        <v>47</v>
      </c>
      <c r="C43" t="s">
        <v>53</v>
      </c>
      <c r="D43" t="s">
        <v>33</v>
      </c>
      <c r="H43">
        <v>100</v>
      </c>
      <c r="I43" t="s">
        <v>108</v>
      </c>
      <c r="J43">
        <f t="shared" si="0"/>
        <v>100</v>
      </c>
      <c r="L43">
        <f t="shared" si="1"/>
        <v>4.4642857142857144E-2</v>
      </c>
    </row>
    <row r="44" spans="1:12" x14ac:dyDescent="0.25">
      <c r="A44">
        <v>1741</v>
      </c>
      <c r="B44" t="s">
        <v>16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1741</v>
      </c>
      <c r="B45" t="s">
        <v>106</v>
      </c>
      <c r="C45" t="s">
        <v>53</v>
      </c>
      <c r="D45" t="s">
        <v>33</v>
      </c>
      <c r="F45">
        <v>3</v>
      </c>
      <c r="J45">
        <f t="shared" si="0"/>
        <v>336</v>
      </c>
      <c r="L45">
        <f t="shared" si="1"/>
        <v>0.15</v>
      </c>
    </row>
    <row r="46" spans="1:12" x14ac:dyDescent="0.25">
      <c r="A46">
        <v>1741</v>
      </c>
      <c r="B46" t="s">
        <v>17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1741</v>
      </c>
      <c r="B47" t="s">
        <v>18</v>
      </c>
      <c r="C47" t="s">
        <v>53</v>
      </c>
      <c r="D47" t="s">
        <v>33</v>
      </c>
      <c r="H47">
        <v>448555</v>
      </c>
      <c r="I47" t="s">
        <v>109</v>
      </c>
      <c r="J47">
        <f t="shared" si="0"/>
        <v>448555</v>
      </c>
      <c r="L47">
        <f t="shared" si="1"/>
        <v>200.24776785714286</v>
      </c>
    </row>
    <row r="48" spans="1:12" x14ac:dyDescent="0.25">
      <c r="A48">
        <v>1741</v>
      </c>
      <c r="B48" t="s">
        <v>26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1741</v>
      </c>
      <c r="B49" t="s">
        <v>84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1741</v>
      </c>
      <c r="B50" t="s">
        <v>19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1741</v>
      </c>
      <c r="B51" t="s">
        <v>45</v>
      </c>
      <c r="C51" t="s">
        <v>53</v>
      </c>
      <c r="D51" t="s">
        <v>33</v>
      </c>
      <c r="H51">
        <v>9</v>
      </c>
      <c r="J51">
        <f t="shared" si="0"/>
        <v>9</v>
      </c>
      <c r="L51">
        <f t="shared" si="1"/>
        <v>4.0178571428571425E-3</v>
      </c>
    </row>
    <row r="52" spans="1:12" x14ac:dyDescent="0.25">
      <c r="A52">
        <v>1741</v>
      </c>
      <c r="B52" t="s">
        <v>85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1741</v>
      </c>
      <c r="B53" t="s">
        <v>54</v>
      </c>
      <c r="C53" t="s">
        <v>53</v>
      </c>
      <c r="D53" t="s">
        <v>33</v>
      </c>
      <c r="H53">
        <v>713</v>
      </c>
      <c r="J53">
        <f t="shared" si="0"/>
        <v>713</v>
      </c>
      <c r="L53">
        <f t="shared" si="1"/>
        <v>0.31830357142857141</v>
      </c>
    </row>
    <row r="54" spans="1:12" x14ac:dyDescent="0.25">
      <c r="A54">
        <v>1741</v>
      </c>
      <c r="B54" t="s">
        <v>95</v>
      </c>
      <c r="C54" t="s">
        <v>53</v>
      </c>
      <c r="D54" t="s">
        <v>33</v>
      </c>
      <c r="H54">
        <v>125</v>
      </c>
      <c r="J54">
        <f t="shared" si="0"/>
        <v>125</v>
      </c>
      <c r="L54">
        <f t="shared" si="1"/>
        <v>5.5803571428571432E-2</v>
      </c>
    </row>
    <row r="55" spans="1:12" x14ac:dyDescent="0.25">
      <c r="A55">
        <v>1741</v>
      </c>
      <c r="B55" t="s">
        <v>20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1741</v>
      </c>
      <c r="B56" t="s">
        <v>21</v>
      </c>
      <c r="C56" t="s">
        <v>53</v>
      </c>
      <c r="D56" t="s">
        <v>33</v>
      </c>
      <c r="H56">
        <v>22</v>
      </c>
      <c r="J56">
        <f t="shared" si="0"/>
        <v>22</v>
      </c>
      <c r="L56">
        <f t="shared" si="1"/>
        <v>9.8214285714285712E-3</v>
      </c>
    </row>
    <row r="57" spans="1:12" x14ac:dyDescent="0.25">
      <c r="A57">
        <v>1741</v>
      </c>
      <c r="B57" t="s">
        <v>22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1741</v>
      </c>
      <c r="B58" t="s">
        <v>61</v>
      </c>
      <c r="C58" t="s">
        <v>53</v>
      </c>
      <c r="D58" t="s">
        <v>33</v>
      </c>
      <c r="E58">
        <v>19</v>
      </c>
      <c r="F58">
        <v>10</v>
      </c>
      <c r="G58">
        <v>1</v>
      </c>
      <c r="H58">
        <v>14</v>
      </c>
      <c r="J58">
        <f t="shared" si="0"/>
        <v>43722</v>
      </c>
      <c r="L58">
        <f t="shared" si="1"/>
        <v>19.518750000000001</v>
      </c>
    </row>
    <row r="59" spans="1:12" x14ac:dyDescent="0.25">
      <c r="A59">
        <v>1741</v>
      </c>
      <c r="B59" t="s">
        <v>99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1741</v>
      </c>
      <c r="B60" t="s">
        <v>87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1741</v>
      </c>
      <c r="B61" t="s">
        <v>62</v>
      </c>
      <c r="C61" t="s">
        <v>53</v>
      </c>
      <c r="D61" t="s">
        <v>33</v>
      </c>
      <c r="E61">
        <v>65</v>
      </c>
      <c r="F61">
        <v>19</v>
      </c>
      <c r="J61">
        <f t="shared" si="0"/>
        <v>147728</v>
      </c>
      <c r="L61">
        <f t="shared" si="1"/>
        <v>65.95</v>
      </c>
    </row>
    <row r="62" spans="1:12" x14ac:dyDescent="0.25">
      <c r="A62">
        <v>1741</v>
      </c>
      <c r="B62" t="s">
        <v>88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1741</v>
      </c>
      <c r="B63" t="s">
        <v>63</v>
      </c>
      <c r="C63" t="s">
        <v>53</v>
      </c>
      <c r="D63" t="s">
        <v>33</v>
      </c>
      <c r="E63">
        <v>27</v>
      </c>
      <c r="J63">
        <f t="shared" si="0"/>
        <v>60480</v>
      </c>
      <c r="L63">
        <f t="shared" si="1"/>
        <v>27</v>
      </c>
    </row>
    <row r="64" spans="1:12" x14ac:dyDescent="0.25">
      <c r="A64">
        <v>1741</v>
      </c>
      <c r="B64" t="s">
        <v>89</v>
      </c>
      <c r="C64" t="s">
        <v>53</v>
      </c>
      <c r="D64" t="s">
        <v>33</v>
      </c>
      <c r="F64">
        <v>3</v>
      </c>
      <c r="J64">
        <f t="shared" si="0"/>
        <v>336</v>
      </c>
      <c r="L64">
        <f t="shared" si="1"/>
        <v>0.15</v>
      </c>
    </row>
    <row r="65" spans="1:12" x14ac:dyDescent="0.25">
      <c r="A65">
        <v>1741</v>
      </c>
      <c r="B65" t="s">
        <v>70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1741</v>
      </c>
      <c r="B66" t="s">
        <v>64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1741</v>
      </c>
      <c r="B67" t="s">
        <v>65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1741</v>
      </c>
      <c r="B68" t="s">
        <v>55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1741</v>
      </c>
      <c r="B69" t="s">
        <v>57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1741</v>
      </c>
      <c r="B70" t="s">
        <v>36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1741</v>
      </c>
      <c r="B71" t="s">
        <v>4</v>
      </c>
      <c r="C71" t="s">
        <v>53</v>
      </c>
      <c r="D71" t="s">
        <v>35</v>
      </c>
      <c r="J71">
        <f t="shared" ref="J71:J131" si="2">(E71*2240)+(F71*112)+(G71*28)+H71</f>
        <v>0</v>
      </c>
      <c r="L71">
        <f t="shared" ref="L71:L131" si="3">J71/2240</f>
        <v>0</v>
      </c>
    </row>
    <row r="72" spans="1:12" x14ac:dyDescent="0.25">
      <c r="A72">
        <v>1741</v>
      </c>
      <c r="B72" t="s">
        <v>58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1741</v>
      </c>
      <c r="B73" t="s">
        <v>69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1741</v>
      </c>
      <c r="B74" t="s">
        <v>43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1741</v>
      </c>
      <c r="B75" t="s">
        <v>76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1741</v>
      </c>
      <c r="B76" t="s">
        <v>5</v>
      </c>
      <c r="C76" t="s">
        <v>53</v>
      </c>
      <c r="D76" t="s">
        <v>35</v>
      </c>
      <c r="F76">
        <v>26</v>
      </c>
      <c r="G76">
        <v>2</v>
      </c>
      <c r="H76">
        <v>5</v>
      </c>
      <c r="J76">
        <f t="shared" si="2"/>
        <v>2973</v>
      </c>
      <c r="L76">
        <f t="shared" si="3"/>
        <v>1.3272321428571427</v>
      </c>
    </row>
    <row r="77" spans="1:12" x14ac:dyDescent="0.25">
      <c r="A77">
        <v>1741</v>
      </c>
      <c r="B77" t="s">
        <v>59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1741</v>
      </c>
      <c r="B78" t="s">
        <v>6</v>
      </c>
      <c r="C78" t="s">
        <v>53</v>
      </c>
      <c r="D78" t="s">
        <v>35</v>
      </c>
      <c r="F78">
        <v>39820</v>
      </c>
      <c r="G78">
        <v>2</v>
      </c>
      <c r="H78">
        <v>23</v>
      </c>
      <c r="J78">
        <f t="shared" si="2"/>
        <v>4459919</v>
      </c>
      <c r="L78">
        <f t="shared" si="3"/>
        <v>1991.0352678571428</v>
      </c>
    </row>
    <row r="79" spans="1:12" x14ac:dyDescent="0.25">
      <c r="A79">
        <v>1741</v>
      </c>
      <c r="B79" t="s">
        <v>60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1741</v>
      </c>
      <c r="B80" t="s">
        <v>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1741</v>
      </c>
      <c r="B81" t="s">
        <v>37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1741</v>
      </c>
      <c r="B82" t="s">
        <v>8</v>
      </c>
      <c r="C82" t="s">
        <v>53</v>
      </c>
      <c r="D82" t="s">
        <v>35</v>
      </c>
      <c r="F82">
        <v>4</v>
      </c>
      <c r="H82">
        <v>16</v>
      </c>
      <c r="J82">
        <f t="shared" si="2"/>
        <v>464</v>
      </c>
      <c r="L82">
        <f t="shared" si="3"/>
        <v>0.20714285714285716</v>
      </c>
    </row>
    <row r="83" spans="1:12" x14ac:dyDescent="0.25">
      <c r="A83">
        <v>1741</v>
      </c>
      <c r="B83" t="s">
        <v>40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1741</v>
      </c>
      <c r="B84" t="s">
        <v>77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1741</v>
      </c>
      <c r="B85" t="s">
        <v>78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1741</v>
      </c>
      <c r="B86" t="s">
        <v>46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1741</v>
      </c>
      <c r="B87" t="s">
        <v>9</v>
      </c>
      <c r="C87" t="s">
        <v>53</v>
      </c>
      <c r="D87" t="s">
        <v>35</v>
      </c>
      <c r="H87">
        <f>732*200+15</f>
        <v>146415</v>
      </c>
      <c r="I87" t="s">
        <v>140</v>
      </c>
      <c r="J87">
        <f t="shared" si="2"/>
        <v>146415</v>
      </c>
      <c r="L87">
        <f t="shared" si="3"/>
        <v>65.363839285714292</v>
      </c>
    </row>
    <row r="88" spans="1:12" x14ac:dyDescent="0.25">
      <c r="A88">
        <v>1741</v>
      </c>
      <c r="B88" t="s">
        <v>10</v>
      </c>
      <c r="C88" t="s">
        <v>53</v>
      </c>
      <c r="D88" t="s">
        <v>35</v>
      </c>
      <c r="F88">
        <v>1796</v>
      </c>
      <c r="G88">
        <v>2</v>
      </c>
      <c r="H88">
        <v>18</v>
      </c>
      <c r="J88">
        <f t="shared" si="2"/>
        <v>201226</v>
      </c>
      <c r="L88">
        <f t="shared" si="3"/>
        <v>89.833035714285714</v>
      </c>
    </row>
    <row r="89" spans="1:12" x14ac:dyDescent="0.25">
      <c r="A89">
        <v>1741</v>
      </c>
      <c r="B89" t="s">
        <v>11</v>
      </c>
      <c r="C89" t="s">
        <v>53</v>
      </c>
      <c r="D89" t="s">
        <v>35</v>
      </c>
      <c r="F89">
        <v>14</v>
      </c>
      <c r="H89">
        <v>26</v>
      </c>
      <c r="J89">
        <f t="shared" si="2"/>
        <v>1594</v>
      </c>
      <c r="L89">
        <f t="shared" si="3"/>
        <v>0.71160714285714288</v>
      </c>
    </row>
    <row r="90" spans="1:12" x14ac:dyDescent="0.25">
      <c r="A90">
        <v>1741</v>
      </c>
      <c r="B90" t="s">
        <v>39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1741</v>
      </c>
      <c r="B91" t="s">
        <v>79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1741</v>
      </c>
      <c r="B92" t="s">
        <v>103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1741</v>
      </c>
      <c r="B93" t="s">
        <v>44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1741</v>
      </c>
      <c r="B94" t="s">
        <v>97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1741</v>
      </c>
      <c r="B95" t="s">
        <v>12</v>
      </c>
      <c r="C95" t="s">
        <v>53</v>
      </c>
      <c r="D95" t="s">
        <v>35</v>
      </c>
      <c r="H95">
        <v>50</v>
      </c>
      <c r="J95">
        <f t="shared" si="2"/>
        <v>50</v>
      </c>
      <c r="L95">
        <f t="shared" si="3"/>
        <v>2.2321428571428572E-2</v>
      </c>
    </row>
    <row r="96" spans="1:12" x14ac:dyDescent="0.25">
      <c r="A96">
        <v>1741</v>
      </c>
      <c r="B96" t="s">
        <v>82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1741</v>
      </c>
      <c r="B97" t="s">
        <v>34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1741</v>
      </c>
      <c r="B98" t="s">
        <v>13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1741</v>
      </c>
      <c r="B99" t="s">
        <v>14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1741</v>
      </c>
      <c r="B100" t="s">
        <v>23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1741</v>
      </c>
      <c r="B101" t="s">
        <v>27</v>
      </c>
      <c r="C101" t="s">
        <v>53</v>
      </c>
      <c r="D101" t="s">
        <v>35</v>
      </c>
      <c r="H101">
        <v>8352</v>
      </c>
      <c r="I101" t="s">
        <v>139</v>
      </c>
      <c r="J101">
        <f t="shared" si="2"/>
        <v>8352</v>
      </c>
      <c r="L101">
        <f t="shared" si="3"/>
        <v>3.7285714285714286</v>
      </c>
    </row>
    <row r="102" spans="1:12" x14ac:dyDescent="0.25">
      <c r="A102">
        <v>1741</v>
      </c>
      <c r="B102" t="s">
        <v>15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1741</v>
      </c>
      <c r="B103" t="s">
        <v>93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1741</v>
      </c>
      <c r="B104" t="s">
        <v>42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1741</v>
      </c>
      <c r="B105" t="s">
        <v>83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1741</v>
      </c>
      <c r="B106" t="s">
        <v>47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1741</v>
      </c>
      <c r="B107" t="s">
        <v>16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1741</v>
      </c>
      <c r="B108" t="s">
        <v>17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1741</v>
      </c>
      <c r="B109" t="s">
        <v>18</v>
      </c>
      <c r="C109" t="s">
        <v>53</v>
      </c>
      <c r="D109" t="s">
        <v>35</v>
      </c>
      <c r="H109">
        <v>69368</v>
      </c>
      <c r="I109" t="s">
        <v>138</v>
      </c>
      <c r="J109">
        <f t="shared" si="2"/>
        <v>69368</v>
      </c>
      <c r="L109">
        <f t="shared" si="3"/>
        <v>30.967857142857142</v>
      </c>
    </row>
    <row r="110" spans="1:12" x14ac:dyDescent="0.25">
      <c r="A110">
        <v>1741</v>
      </c>
      <c r="B110" t="s">
        <v>26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1741</v>
      </c>
      <c r="B111" t="s">
        <v>84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1741</v>
      </c>
      <c r="B112" t="s">
        <v>19</v>
      </c>
      <c r="C112" t="s">
        <v>53</v>
      </c>
      <c r="D112" t="s">
        <v>35</v>
      </c>
      <c r="F112">
        <v>3</v>
      </c>
      <c r="G112">
        <v>2</v>
      </c>
      <c r="J112">
        <f t="shared" si="2"/>
        <v>392</v>
      </c>
      <c r="L112">
        <f t="shared" si="3"/>
        <v>0.17499999999999999</v>
      </c>
    </row>
    <row r="113" spans="1:12" x14ac:dyDescent="0.25">
      <c r="A113">
        <v>1741</v>
      </c>
      <c r="B113" t="s">
        <v>45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1741</v>
      </c>
      <c r="B114" t="s">
        <v>85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1741</v>
      </c>
      <c r="B115" t="s">
        <v>54</v>
      </c>
      <c r="C115" t="s">
        <v>53</v>
      </c>
      <c r="D115" t="s">
        <v>35</v>
      </c>
      <c r="H115">
        <v>32</v>
      </c>
      <c r="J115">
        <f t="shared" si="2"/>
        <v>32</v>
      </c>
      <c r="L115">
        <f t="shared" si="3"/>
        <v>1.4285714285714285E-2</v>
      </c>
    </row>
    <row r="116" spans="1:12" x14ac:dyDescent="0.25">
      <c r="A116">
        <v>1741</v>
      </c>
      <c r="B116" t="s">
        <v>95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1741</v>
      </c>
      <c r="B117" t="s">
        <v>20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1741</v>
      </c>
      <c r="B118" t="s">
        <v>21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1741</v>
      </c>
      <c r="B119" t="s">
        <v>105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1741</v>
      </c>
      <c r="B120" t="s">
        <v>22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1741</v>
      </c>
      <c r="B121" t="s">
        <v>61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1741</v>
      </c>
      <c r="B122" t="s">
        <v>91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1741</v>
      </c>
      <c r="B123" t="s">
        <v>98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1741</v>
      </c>
      <c r="B124" t="s">
        <v>87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1741</v>
      </c>
      <c r="B125" t="s">
        <v>62</v>
      </c>
      <c r="C125" t="s">
        <v>53</v>
      </c>
      <c r="D125" t="s">
        <v>35</v>
      </c>
      <c r="E125">
        <v>56</v>
      </c>
      <c r="F125">
        <v>10</v>
      </c>
      <c r="J125">
        <f t="shared" si="2"/>
        <v>126560</v>
      </c>
      <c r="L125">
        <f t="shared" si="3"/>
        <v>56.5</v>
      </c>
    </row>
    <row r="126" spans="1:12" x14ac:dyDescent="0.25">
      <c r="A126">
        <v>1741</v>
      </c>
      <c r="B126" t="s">
        <v>88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1741</v>
      </c>
      <c r="B127" t="s">
        <v>63</v>
      </c>
      <c r="C127" t="s">
        <v>53</v>
      </c>
      <c r="D127" t="s">
        <v>35</v>
      </c>
      <c r="E127">
        <v>18</v>
      </c>
      <c r="F127">
        <v>10</v>
      </c>
      <c r="J127">
        <f t="shared" si="2"/>
        <v>41440</v>
      </c>
      <c r="L127">
        <f t="shared" si="3"/>
        <v>18.5</v>
      </c>
    </row>
    <row r="128" spans="1:12" x14ac:dyDescent="0.25">
      <c r="A128">
        <v>1741</v>
      </c>
      <c r="B128" t="s">
        <v>89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1741</v>
      </c>
      <c r="B129" t="s">
        <v>70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1741</v>
      </c>
      <c r="B130" t="s">
        <v>64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1741</v>
      </c>
      <c r="B131" t="s">
        <v>65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3"/>
  <sheetViews>
    <sheetView topLeftCell="A66" workbookViewId="0">
      <selection activeCell="H88" sqref="H8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1741</v>
      </c>
      <c r="B2" t="s">
        <v>55</v>
      </c>
      <c r="C2" t="s">
        <v>56</v>
      </c>
      <c r="D2" t="s">
        <v>33</v>
      </c>
      <c r="J2">
        <f t="shared" ref="J2:J69" si="0">(E2*2240)+(F2*112)+(G2*28)+H2</f>
        <v>0</v>
      </c>
      <c r="L2">
        <f t="shared" ref="L2:L69" si="1">J2/2240</f>
        <v>0</v>
      </c>
    </row>
    <row r="3" spans="1:12" x14ac:dyDescent="0.25">
      <c r="A3">
        <v>1741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1741</v>
      </c>
      <c r="B4" t="s">
        <v>36</v>
      </c>
      <c r="C4" t="s">
        <v>56</v>
      </c>
      <c r="D4" t="s">
        <v>33</v>
      </c>
      <c r="H4">
        <v>52435</v>
      </c>
      <c r="J4">
        <f t="shared" si="0"/>
        <v>52435</v>
      </c>
      <c r="L4">
        <f t="shared" si="1"/>
        <v>23.408482142857142</v>
      </c>
    </row>
    <row r="5" spans="1:12" x14ac:dyDescent="0.25">
      <c r="A5">
        <v>1741</v>
      </c>
      <c r="B5" t="s">
        <v>4</v>
      </c>
      <c r="C5" t="s">
        <v>56</v>
      </c>
      <c r="D5" t="s">
        <v>33</v>
      </c>
      <c r="H5">
        <v>200</v>
      </c>
      <c r="J5">
        <f t="shared" si="0"/>
        <v>200</v>
      </c>
      <c r="L5">
        <f t="shared" si="1"/>
        <v>8.9285714285714288E-2</v>
      </c>
    </row>
    <row r="6" spans="1:12" x14ac:dyDescent="0.25">
      <c r="A6">
        <v>1741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1741</v>
      </c>
      <c r="B7" t="s">
        <v>112</v>
      </c>
      <c r="C7" t="s">
        <v>56</v>
      </c>
      <c r="D7" t="s">
        <v>33</v>
      </c>
      <c r="H7">
        <v>134</v>
      </c>
      <c r="J7">
        <f t="shared" si="0"/>
        <v>134</v>
      </c>
      <c r="L7">
        <f t="shared" si="1"/>
        <v>5.9821428571428574E-2</v>
      </c>
    </row>
    <row r="8" spans="1:12" x14ac:dyDescent="0.25">
      <c r="A8">
        <v>1741</v>
      </c>
      <c r="B8" t="s">
        <v>92</v>
      </c>
      <c r="C8" t="s">
        <v>56</v>
      </c>
      <c r="D8" t="s">
        <v>33</v>
      </c>
      <c r="H8">
        <v>2294</v>
      </c>
      <c r="J8">
        <f t="shared" si="0"/>
        <v>2294</v>
      </c>
      <c r="L8">
        <f t="shared" si="1"/>
        <v>1.0241071428571429</v>
      </c>
    </row>
    <row r="9" spans="1:12" x14ac:dyDescent="0.25">
      <c r="A9">
        <v>1741</v>
      </c>
      <c r="B9" t="s">
        <v>43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1741</v>
      </c>
      <c r="B10" t="s">
        <v>5</v>
      </c>
      <c r="C10" t="s">
        <v>56</v>
      </c>
      <c r="D10" t="s">
        <v>33</v>
      </c>
      <c r="F10">
        <v>71</v>
      </c>
      <c r="G10">
        <v>3</v>
      </c>
      <c r="H10">
        <v>19</v>
      </c>
      <c r="J10">
        <f t="shared" si="0"/>
        <v>8055</v>
      </c>
      <c r="L10">
        <f t="shared" si="1"/>
        <v>3.5959821428571428</v>
      </c>
    </row>
    <row r="11" spans="1:12" x14ac:dyDescent="0.25">
      <c r="A11">
        <v>1741</v>
      </c>
      <c r="B11" t="s">
        <v>59</v>
      </c>
      <c r="C11" t="s">
        <v>56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1741</v>
      </c>
      <c r="B12" t="s">
        <v>6</v>
      </c>
      <c r="C12" t="s">
        <v>56</v>
      </c>
      <c r="D12" t="s">
        <v>33</v>
      </c>
      <c r="F12">
        <v>129499</v>
      </c>
      <c r="H12">
        <v>26</v>
      </c>
      <c r="J12">
        <f t="shared" si="0"/>
        <v>14503914</v>
      </c>
      <c r="L12">
        <f t="shared" si="1"/>
        <v>6474.9616071428572</v>
      </c>
    </row>
    <row r="13" spans="1:12" x14ac:dyDescent="0.25">
      <c r="A13">
        <v>1741</v>
      </c>
      <c r="B13" t="s">
        <v>60</v>
      </c>
      <c r="C13" t="s">
        <v>56</v>
      </c>
      <c r="D13" t="s">
        <v>33</v>
      </c>
      <c r="H13">
        <v>628</v>
      </c>
      <c r="J13">
        <f t="shared" si="0"/>
        <v>628</v>
      </c>
      <c r="L13">
        <f t="shared" si="1"/>
        <v>0.28035714285714286</v>
      </c>
    </row>
    <row r="14" spans="1:12" x14ac:dyDescent="0.25">
      <c r="A14">
        <v>1741</v>
      </c>
      <c r="B14" t="s">
        <v>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1741</v>
      </c>
      <c r="B15" t="s">
        <v>37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1741</v>
      </c>
      <c r="B16" t="s">
        <v>8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1741</v>
      </c>
      <c r="B17" t="s">
        <v>40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1741</v>
      </c>
      <c r="B18" t="s">
        <v>77</v>
      </c>
      <c r="C18" t="s">
        <v>56</v>
      </c>
      <c r="D18" t="s">
        <v>33</v>
      </c>
      <c r="G18">
        <v>2</v>
      </c>
      <c r="H18">
        <v>10</v>
      </c>
      <c r="J18">
        <f t="shared" si="0"/>
        <v>66</v>
      </c>
      <c r="L18">
        <f t="shared" si="1"/>
        <v>2.9464285714285714E-2</v>
      </c>
    </row>
    <row r="19" spans="1:12" x14ac:dyDescent="0.25">
      <c r="A19">
        <v>1741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1741</v>
      </c>
      <c r="B20" t="s">
        <v>9</v>
      </c>
      <c r="C20" t="s">
        <v>56</v>
      </c>
      <c r="D20" t="s">
        <v>33</v>
      </c>
      <c r="H20">
        <f>246*200+197</f>
        <v>49397</v>
      </c>
      <c r="I20" t="s">
        <v>117</v>
      </c>
      <c r="J20">
        <f t="shared" si="0"/>
        <v>49397</v>
      </c>
      <c r="L20">
        <f t="shared" si="1"/>
        <v>22.052232142857143</v>
      </c>
    </row>
    <row r="21" spans="1:12" x14ac:dyDescent="0.25">
      <c r="A21">
        <v>1741</v>
      </c>
      <c r="B21" t="s">
        <v>10</v>
      </c>
      <c r="C21" t="s">
        <v>56</v>
      </c>
      <c r="D21" t="s">
        <v>33</v>
      </c>
      <c r="F21">
        <v>3832</v>
      </c>
      <c r="G21">
        <v>3</v>
      </c>
      <c r="H21">
        <v>6</v>
      </c>
      <c r="J21">
        <f t="shared" si="0"/>
        <v>429274</v>
      </c>
      <c r="L21">
        <f t="shared" si="1"/>
        <v>191.64017857142858</v>
      </c>
    </row>
    <row r="22" spans="1:12" x14ac:dyDescent="0.25">
      <c r="A22">
        <v>1741</v>
      </c>
      <c r="B22" t="s">
        <v>11</v>
      </c>
      <c r="C22" t="s">
        <v>56</v>
      </c>
      <c r="D22" t="s">
        <v>33</v>
      </c>
      <c r="F22">
        <v>681</v>
      </c>
      <c r="G22">
        <v>3</v>
      </c>
      <c r="H22">
        <v>1</v>
      </c>
      <c r="J22">
        <f t="shared" si="0"/>
        <v>76357</v>
      </c>
      <c r="L22">
        <f t="shared" si="1"/>
        <v>34.087946428571428</v>
      </c>
    </row>
    <row r="23" spans="1:12" x14ac:dyDescent="0.25">
      <c r="A23">
        <v>1741</v>
      </c>
      <c r="B23" t="s">
        <v>39</v>
      </c>
      <c r="C23" t="s">
        <v>56</v>
      </c>
      <c r="D23" t="s">
        <v>33</v>
      </c>
      <c r="H23">
        <v>1787</v>
      </c>
      <c r="J23">
        <f t="shared" si="0"/>
        <v>1787</v>
      </c>
      <c r="L23">
        <f t="shared" si="1"/>
        <v>0.79776785714285714</v>
      </c>
    </row>
    <row r="24" spans="1:12" x14ac:dyDescent="0.25">
      <c r="A24">
        <v>1741</v>
      </c>
      <c r="B24" t="s">
        <v>102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1741</v>
      </c>
      <c r="B25" t="s">
        <v>44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1741</v>
      </c>
      <c r="B26" t="s">
        <v>12</v>
      </c>
      <c r="C26" t="s">
        <v>56</v>
      </c>
      <c r="D26" t="s">
        <v>33</v>
      </c>
      <c r="H26">
        <v>6000</v>
      </c>
      <c r="J26">
        <f t="shared" si="0"/>
        <v>6000</v>
      </c>
      <c r="L26">
        <f t="shared" si="1"/>
        <v>2.6785714285714284</v>
      </c>
    </row>
    <row r="27" spans="1:12" x14ac:dyDescent="0.25">
      <c r="A27">
        <v>1741</v>
      </c>
      <c r="B27" t="s">
        <v>34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1741</v>
      </c>
      <c r="B28" t="s">
        <v>13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1741</v>
      </c>
      <c r="B29" t="s">
        <v>14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1741</v>
      </c>
      <c r="B30" t="s">
        <v>23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1741</v>
      </c>
      <c r="B31" t="s">
        <v>27</v>
      </c>
      <c r="C31" t="s">
        <v>56</v>
      </c>
      <c r="D31" t="s">
        <v>33</v>
      </c>
      <c r="H31">
        <v>403293.5</v>
      </c>
      <c r="I31" t="s">
        <v>115</v>
      </c>
      <c r="J31">
        <f t="shared" si="0"/>
        <v>403293.5</v>
      </c>
      <c r="L31">
        <f t="shared" si="1"/>
        <v>180.04174107142856</v>
      </c>
    </row>
    <row r="32" spans="1:12" x14ac:dyDescent="0.25">
      <c r="A32">
        <v>1741</v>
      </c>
      <c r="B32" t="s">
        <v>15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1741</v>
      </c>
      <c r="B33" t="s">
        <v>42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1741</v>
      </c>
      <c r="B34" t="s">
        <v>47</v>
      </c>
      <c r="C34" t="s">
        <v>56</v>
      </c>
      <c r="D34" t="s">
        <v>33</v>
      </c>
      <c r="H34">
        <v>385</v>
      </c>
      <c r="I34" t="s">
        <v>113</v>
      </c>
      <c r="J34">
        <f t="shared" si="0"/>
        <v>385</v>
      </c>
      <c r="L34">
        <f t="shared" si="1"/>
        <v>0.171875</v>
      </c>
    </row>
    <row r="35" spans="1:12" x14ac:dyDescent="0.25">
      <c r="A35">
        <v>1741</v>
      </c>
      <c r="B35" t="s">
        <v>16</v>
      </c>
      <c r="C35" t="s">
        <v>56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1741</v>
      </c>
      <c r="B36" t="s">
        <v>17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1741</v>
      </c>
      <c r="B37" t="s">
        <v>18</v>
      </c>
      <c r="C37" t="s">
        <v>56</v>
      </c>
      <c r="D37" t="s">
        <v>33</v>
      </c>
      <c r="H37">
        <v>154224.5</v>
      </c>
      <c r="I37" t="s">
        <v>114</v>
      </c>
      <c r="J37">
        <f t="shared" si="0"/>
        <v>154224.5</v>
      </c>
      <c r="L37">
        <f t="shared" si="1"/>
        <v>68.85022321428572</v>
      </c>
    </row>
    <row r="38" spans="1:12" x14ac:dyDescent="0.25">
      <c r="A38">
        <v>1741</v>
      </c>
      <c r="B38" t="s">
        <v>26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1741</v>
      </c>
      <c r="B39" t="s">
        <v>19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1741</v>
      </c>
      <c r="B40" t="s">
        <v>45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1741</v>
      </c>
      <c r="B41" t="s">
        <v>54</v>
      </c>
      <c r="C41" t="s">
        <v>56</v>
      </c>
      <c r="D41" t="s">
        <v>33</v>
      </c>
      <c r="H41">
        <v>2118</v>
      </c>
      <c r="J41">
        <f t="shared" si="0"/>
        <v>2118</v>
      </c>
      <c r="L41">
        <f t="shared" si="1"/>
        <v>0.94553571428571426</v>
      </c>
    </row>
    <row r="42" spans="1:12" x14ac:dyDescent="0.25">
      <c r="A42">
        <v>1741</v>
      </c>
      <c r="B42" t="s">
        <v>95</v>
      </c>
      <c r="C42" t="s">
        <v>56</v>
      </c>
      <c r="D42" t="s">
        <v>33</v>
      </c>
      <c r="H42">
        <v>779</v>
      </c>
      <c r="J42">
        <f t="shared" si="0"/>
        <v>779</v>
      </c>
      <c r="L42">
        <f t="shared" si="1"/>
        <v>0.34776785714285713</v>
      </c>
    </row>
    <row r="43" spans="1:12" x14ac:dyDescent="0.25">
      <c r="A43">
        <v>1741</v>
      </c>
      <c r="B43" t="s">
        <v>20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1741</v>
      </c>
      <c r="B44" t="s">
        <v>21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1741</v>
      </c>
      <c r="B45" t="s">
        <v>22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1741</v>
      </c>
      <c r="B46" t="s">
        <v>61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1741</v>
      </c>
      <c r="B47" t="s">
        <v>116</v>
      </c>
      <c r="C47" t="s">
        <v>56</v>
      </c>
      <c r="D47" t="s">
        <v>33</v>
      </c>
      <c r="E47">
        <v>20</v>
      </c>
    </row>
    <row r="48" spans="1:12" x14ac:dyDescent="0.25">
      <c r="A48">
        <v>1741</v>
      </c>
      <c r="B48" t="s">
        <v>62</v>
      </c>
      <c r="C48" t="s">
        <v>56</v>
      </c>
      <c r="D48" t="s">
        <v>33</v>
      </c>
      <c r="E48">
        <v>55</v>
      </c>
      <c r="F48">
        <v>16</v>
      </c>
      <c r="G48">
        <v>2</v>
      </c>
      <c r="H48">
        <v>7</v>
      </c>
      <c r="J48">
        <f t="shared" si="0"/>
        <v>125055</v>
      </c>
      <c r="L48">
        <f t="shared" si="1"/>
        <v>55.828125</v>
      </c>
    </row>
    <row r="49" spans="1:12" x14ac:dyDescent="0.25">
      <c r="A49">
        <v>1741</v>
      </c>
      <c r="B49" t="s">
        <v>63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1741</v>
      </c>
      <c r="B50" t="s">
        <v>70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1741</v>
      </c>
      <c r="B51" t="s">
        <v>64</v>
      </c>
      <c r="C51" t="s">
        <v>56</v>
      </c>
      <c r="D51" t="s">
        <v>33</v>
      </c>
      <c r="E51">
        <v>2</v>
      </c>
      <c r="F51">
        <v>16</v>
      </c>
      <c r="J51">
        <f t="shared" si="0"/>
        <v>6272</v>
      </c>
      <c r="L51">
        <f t="shared" si="1"/>
        <v>2.8</v>
      </c>
    </row>
    <row r="52" spans="1:12" x14ac:dyDescent="0.25">
      <c r="A52">
        <v>1741</v>
      </c>
      <c r="B52" t="s">
        <v>65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1741</v>
      </c>
      <c r="B53" t="s">
        <v>55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1741</v>
      </c>
      <c r="B54" t="s">
        <v>57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1741</v>
      </c>
      <c r="B55" t="s">
        <v>36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1741</v>
      </c>
      <c r="B56" t="s">
        <v>4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1741</v>
      </c>
      <c r="B57" t="s">
        <v>58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1741</v>
      </c>
      <c r="B58" t="s">
        <v>92</v>
      </c>
      <c r="C58" t="s">
        <v>56</v>
      </c>
      <c r="D58" t="s">
        <v>35</v>
      </c>
      <c r="H58">
        <v>234</v>
      </c>
      <c r="J58">
        <f t="shared" si="0"/>
        <v>234</v>
      </c>
      <c r="L58">
        <f t="shared" si="1"/>
        <v>0.10446428571428572</v>
      </c>
    </row>
    <row r="59" spans="1:12" x14ac:dyDescent="0.25">
      <c r="A59">
        <v>1741</v>
      </c>
      <c r="B59" t="s">
        <v>43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1741</v>
      </c>
      <c r="B60" t="s">
        <v>5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1741</v>
      </c>
      <c r="B61" t="s">
        <v>59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1741</v>
      </c>
      <c r="B62" t="s">
        <v>6</v>
      </c>
      <c r="C62" t="s">
        <v>56</v>
      </c>
      <c r="D62" t="s">
        <v>35</v>
      </c>
      <c r="F62">
        <v>64864</v>
      </c>
      <c r="G62">
        <v>2</v>
      </c>
      <c r="H62">
        <v>16</v>
      </c>
      <c r="J62">
        <f t="shared" si="0"/>
        <v>7264840</v>
      </c>
      <c r="L62">
        <f t="shared" si="1"/>
        <v>3243.2321428571427</v>
      </c>
    </row>
    <row r="63" spans="1:12" x14ac:dyDescent="0.25">
      <c r="A63">
        <v>1741</v>
      </c>
      <c r="B63" t="s">
        <v>60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1741</v>
      </c>
      <c r="B64" t="s">
        <v>38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1741</v>
      </c>
      <c r="B65" t="s">
        <v>37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1741</v>
      </c>
      <c r="B66" t="s">
        <v>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1741</v>
      </c>
      <c r="B67" t="s">
        <v>40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1741</v>
      </c>
      <c r="B68" t="s">
        <v>9</v>
      </c>
      <c r="C68" t="s">
        <v>56</v>
      </c>
      <c r="D68" t="s">
        <v>35</v>
      </c>
      <c r="H68">
        <f>928*200+163</f>
        <v>185763</v>
      </c>
      <c r="I68" t="s">
        <v>143</v>
      </c>
      <c r="J68">
        <f t="shared" si="0"/>
        <v>185763</v>
      </c>
      <c r="L68">
        <f t="shared" si="1"/>
        <v>82.929910714285711</v>
      </c>
    </row>
    <row r="69" spans="1:12" x14ac:dyDescent="0.25">
      <c r="A69">
        <v>1741</v>
      </c>
      <c r="B69" t="s">
        <v>10</v>
      </c>
      <c r="C69" t="s">
        <v>56</v>
      </c>
      <c r="D69" t="s">
        <v>35</v>
      </c>
      <c r="F69">
        <v>873</v>
      </c>
      <c r="G69">
        <v>3</v>
      </c>
      <c r="H69">
        <v>9</v>
      </c>
      <c r="J69">
        <f t="shared" si="0"/>
        <v>97869</v>
      </c>
      <c r="L69">
        <f t="shared" si="1"/>
        <v>43.691517857142856</v>
      </c>
    </row>
    <row r="70" spans="1:12" x14ac:dyDescent="0.25">
      <c r="A70">
        <v>1741</v>
      </c>
      <c r="B70" t="s">
        <v>11</v>
      </c>
      <c r="C70" t="s">
        <v>56</v>
      </c>
      <c r="D70" t="s">
        <v>35</v>
      </c>
      <c r="F70">
        <v>280</v>
      </c>
      <c r="H70">
        <v>9</v>
      </c>
      <c r="J70">
        <f t="shared" ref="J70:J103" si="2">(E70*2240)+(F70*112)+(G70*28)+H70</f>
        <v>31369</v>
      </c>
      <c r="L70">
        <f t="shared" ref="L70:L103" si="3">J70/2240</f>
        <v>14.004017857142857</v>
      </c>
    </row>
    <row r="71" spans="1:12" x14ac:dyDescent="0.25">
      <c r="A71">
        <v>1741</v>
      </c>
      <c r="B71" t="s">
        <v>39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1741</v>
      </c>
      <c r="B72" t="s">
        <v>79</v>
      </c>
      <c r="C72" t="s">
        <v>56</v>
      </c>
      <c r="D72" t="s">
        <v>35</v>
      </c>
      <c r="H72">
        <v>4079</v>
      </c>
      <c r="J72">
        <f t="shared" si="2"/>
        <v>4079</v>
      </c>
      <c r="L72">
        <f t="shared" si="3"/>
        <v>1.8209821428571429</v>
      </c>
    </row>
    <row r="73" spans="1:12" x14ac:dyDescent="0.25">
      <c r="A73">
        <v>1741</v>
      </c>
      <c r="B73" t="s">
        <v>44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1741</v>
      </c>
      <c r="B74" t="s">
        <v>12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1741</v>
      </c>
      <c r="B75" t="s">
        <v>34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1741</v>
      </c>
      <c r="B76" t="s">
        <v>13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1741</v>
      </c>
      <c r="B77" t="s">
        <v>14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1741</v>
      </c>
      <c r="B78" t="s">
        <v>23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1741</v>
      </c>
      <c r="B79" t="s">
        <v>27</v>
      </c>
      <c r="C79" t="s">
        <v>56</v>
      </c>
      <c r="D79" t="s">
        <v>35</v>
      </c>
      <c r="H79">
        <v>9562.5</v>
      </c>
      <c r="I79" t="s">
        <v>142</v>
      </c>
      <c r="J79">
        <f t="shared" si="2"/>
        <v>9562.5</v>
      </c>
      <c r="L79">
        <f t="shared" si="3"/>
        <v>4.2689732142857144</v>
      </c>
    </row>
    <row r="80" spans="1:12" x14ac:dyDescent="0.25">
      <c r="A80">
        <v>1741</v>
      </c>
      <c r="B80" t="s">
        <v>15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1741</v>
      </c>
      <c r="B81" t="s">
        <v>93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1741</v>
      </c>
      <c r="B82" t="s">
        <v>42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1741</v>
      </c>
      <c r="B83" t="s">
        <v>47</v>
      </c>
      <c r="C83" t="s">
        <v>56</v>
      </c>
      <c r="D83" t="s">
        <v>35</v>
      </c>
      <c r="H83">
        <v>40</v>
      </c>
      <c r="I83" t="s">
        <v>124</v>
      </c>
      <c r="J83">
        <f t="shared" si="2"/>
        <v>40</v>
      </c>
      <c r="L83">
        <f t="shared" si="3"/>
        <v>1.7857142857142856E-2</v>
      </c>
    </row>
    <row r="84" spans="1:12" x14ac:dyDescent="0.25">
      <c r="A84">
        <v>1741</v>
      </c>
      <c r="B84" t="s">
        <v>16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1741</v>
      </c>
      <c r="B85" t="s">
        <v>106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1741</v>
      </c>
      <c r="B86" t="s">
        <v>17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1741</v>
      </c>
      <c r="B87" t="s">
        <v>18</v>
      </c>
      <c r="C87" t="s">
        <v>56</v>
      </c>
      <c r="D87" t="s">
        <v>35</v>
      </c>
      <c r="H87">
        <v>223163.5</v>
      </c>
      <c r="I87" t="s">
        <v>141</v>
      </c>
      <c r="J87">
        <f t="shared" si="2"/>
        <v>223163.5</v>
      </c>
      <c r="L87">
        <f t="shared" si="3"/>
        <v>99.626562500000006</v>
      </c>
    </row>
    <row r="88" spans="1:12" x14ac:dyDescent="0.25">
      <c r="A88">
        <v>1741</v>
      </c>
      <c r="B88" t="s">
        <v>26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1741</v>
      </c>
      <c r="B89" t="s">
        <v>19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1741</v>
      </c>
      <c r="B90" t="s">
        <v>45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1741</v>
      </c>
      <c r="B91" t="s">
        <v>54</v>
      </c>
      <c r="C91" t="s">
        <v>56</v>
      </c>
      <c r="D91" t="s">
        <v>35</v>
      </c>
      <c r="H91">
        <v>22</v>
      </c>
      <c r="J91">
        <f t="shared" si="2"/>
        <v>22</v>
      </c>
      <c r="L91">
        <f t="shared" si="3"/>
        <v>9.8214285714285712E-3</v>
      </c>
    </row>
    <row r="92" spans="1:12" x14ac:dyDescent="0.25">
      <c r="A92">
        <v>1741</v>
      </c>
      <c r="B92" t="s">
        <v>95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1741</v>
      </c>
      <c r="B93" t="s">
        <v>20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1741</v>
      </c>
      <c r="B94" t="s">
        <v>21</v>
      </c>
      <c r="C94" t="s">
        <v>56</v>
      </c>
      <c r="D94" t="s">
        <v>35</v>
      </c>
      <c r="H94">
        <v>123</v>
      </c>
      <c r="J94">
        <f t="shared" si="2"/>
        <v>123</v>
      </c>
      <c r="L94">
        <f t="shared" si="3"/>
        <v>5.4910714285714285E-2</v>
      </c>
    </row>
    <row r="95" spans="1:12" x14ac:dyDescent="0.25">
      <c r="A95">
        <v>1741</v>
      </c>
      <c r="B95" t="s">
        <v>22</v>
      </c>
      <c r="C95" t="s">
        <v>56</v>
      </c>
      <c r="D95" t="s">
        <v>35</v>
      </c>
      <c r="F95">
        <v>8</v>
      </c>
      <c r="G95">
        <v>3</v>
      </c>
      <c r="H95">
        <v>4</v>
      </c>
      <c r="J95">
        <f t="shared" si="2"/>
        <v>984</v>
      </c>
      <c r="L95">
        <f t="shared" si="3"/>
        <v>0.43928571428571428</v>
      </c>
    </row>
    <row r="96" spans="1:12" x14ac:dyDescent="0.25">
      <c r="A96">
        <v>1741</v>
      </c>
      <c r="B96" t="s">
        <v>61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1741</v>
      </c>
      <c r="B97" t="s">
        <v>116</v>
      </c>
      <c r="C97" t="s">
        <v>56</v>
      </c>
      <c r="D97" t="s">
        <v>35</v>
      </c>
      <c r="F97">
        <v>10</v>
      </c>
      <c r="J97">
        <f t="shared" si="2"/>
        <v>1120</v>
      </c>
      <c r="L97">
        <f t="shared" si="3"/>
        <v>0.5</v>
      </c>
    </row>
    <row r="98" spans="1:12" x14ac:dyDescent="0.25">
      <c r="A98">
        <v>1741</v>
      </c>
      <c r="B98" t="s">
        <v>62</v>
      </c>
      <c r="C98" t="s">
        <v>56</v>
      </c>
      <c r="D98" t="s">
        <v>35</v>
      </c>
      <c r="E98">
        <v>34</v>
      </c>
      <c r="F98">
        <v>9</v>
      </c>
      <c r="G98">
        <v>3</v>
      </c>
      <c r="H98">
        <v>9</v>
      </c>
      <c r="J98">
        <f t="shared" si="2"/>
        <v>77261</v>
      </c>
      <c r="L98">
        <f t="shared" si="3"/>
        <v>34.49151785714286</v>
      </c>
    </row>
    <row r="99" spans="1:12" x14ac:dyDescent="0.25">
      <c r="A99">
        <v>1741</v>
      </c>
      <c r="B99" t="s">
        <v>63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1741</v>
      </c>
      <c r="B100" t="s">
        <v>89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1741</v>
      </c>
      <c r="B101" t="s">
        <v>70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1741</v>
      </c>
      <c r="B102" t="s">
        <v>64</v>
      </c>
      <c r="C102" t="s">
        <v>56</v>
      </c>
      <c r="D102" t="s">
        <v>35</v>
      </c>
      <c r="E102">
        <v>28</v>
      </c>
      <c r="F102">
        <v>1</v>
      </c>
      <c r="G102">
        <v>2</v>
      </c>
      <c r="H102">
        <v>3</v>
      </c>
      <c r="J102">
        <f t="shared" si="2"/>
        <v>62891</v>
      </c>
      <c r="L102">
        <f t="shared" si="3"/>
        <v>28.076339285714287</v>
      </c>
    </row>
    <row r="103" spans="1:12" x14ac:dyDescent="0.25">
      <c r="A103">
        <v>1741</v>
      </c>
      <c r="B103" t="s">
        <v>65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</sheetData>
  <autoFilter ref="A1:N56" xr:uid="{AAD1F908-12B8-4B3A-A65D-184CD229ACD4}">
    <sortState xmlns:xlrd2="http://schemas.microsoft.com/office/spreadsheetml/2017/richdata2" ref="A2:N56">
      <sortCondition ref="B1:B5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H6" sqref="H6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1741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1741</v>
      </c>
      <c r="B3" t="s">
        <v>6</v>
      </c>
      <c r="C3" t="s">
        <v>67</v>
      </c>
      <c r="D3" t="s">
        <v>33</v>
      </c>
      <c r="E3" s="1"/>
      <c r="F3">
        <v>50</v>
      </c>
      <c r="G3">
        <v>2</v>
      </c>
      <c r="I3" s="1"/>
      <c r="J3">
        <f t="shared" si="0"/>
        <v>5656</v>
      </c>
      <c r="K3" s="1"/>
      <c r="L3">
        <f t="shared" si="1"/>
        <v>2.5249999999999999</v>
      </c>
    </row>
    <row r="4" spans="1:12" x14ac:dyDescent="0.25">
      <c r="A4">
        <v>1741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1741</v>
      </c>
      <c r="B5" t="s">
        <v>9</v>
      </c>
      <c r="C5" t="s">
        <v>67</v>
      </c>
      <c r="D5" t="s">
        <v>33</v>
      </c>
      <c r="H5">
        <f>1*200</f>
        <v>200</v>
      </c>
      <c r="I5" t="s">
        <v>118</v>
      </c>
      <c r="J5">
        <f t="shared" si="0"/>
        <v>200</v>
      </c>
      <c r="L5">
        <f t="shared" si="1"/>
        <v>8.9285714285714288E-2</v>
      </c>
    </row>
    <row r="6" spans="1:12" x14ac:dyDescent="0.25">
      <c r="A6">
        <v>1741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1741</v>
      </c>
      <c r="B7" t="s">
        <v>12</v>
      </c>
      <c r="C7" t="s">
        <v>67</v>
      </c>
      <c r="D7" t="s">
        <v>33</v>
      </c>
      <c r="H7">
        <v>21</v>
      </c>
      <c r="J7">
        <f t="shared" si="0"/>
        <v>21</v>
      </c>
      <c r="L7">
        <f t="shared" si="1"/>
        <v>9.3749999999999997E-3</v>
      </c>
    </row>
    <row r="8" spans="1:12" x14ac:dyDescent="0.25">
      <c r="A8">
        <v>1741</v>
      </c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1741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1741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1741</v>
      </c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1741</v>
      </c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1741</v>
      </c>
      <c r="B13" t="s">
        <v>21</v>
      </c>
      <c r="C13" t="s">
        <v>67</v>
      </c>
      <c r="D13" t="s">
        <v>33</v>
      </c>
      <c r="H13">
        <v>224</v>
      </c>
      <c r="J13">
        <f t="shared" si="0"/>
        <v>224</v>
      </c>
      <c r="L13">
        <f t="shared" si="1"/>
        <v>0.1</v>
      </c>
    </row>
    <row r="14" spans="1:12" x14ac:dyDescent="0.25">
      <c r="A14">
        <v>1741</v>
      </c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1741</v>
      </c>
      <c r="B15" t="s">
        <v>105</v>
      </c>
      <c r="C15" t="s">
        <v>67</v>
      </c>
      <c r="D15" t="s">
        <v>33</v>
      </c>
      <c r="H15">
        <v>239</v>
      </c>
      <c r="J15">
        <f t="shared" si="0"/>
        <v>239</v>
      </c>
      <c r="L15">
        <f t="shared" si="1"/>
        <v>0.10669642857142857</v>
      </c>
    </row>
    <row r="16" spans="1:12" x14ac:dyDescent="0.25">
      <c r="A16">
        <v>1741</v>
      </c>
      <c r="B16" t="s">
        <v>61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1741</v>
      </c>
      <c r="B17" t="s">
        <v>62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1741</v>
      </c>
      <c r="B18" t="s">
        <v>63</v>
      </c>
      <c r="C18" t="s">
        <v>67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1741</v>
      </c>
      <c r="B19" t="s">
        <v>6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1741</v>
      </c>
      <c r="B20" t="s">
        <v>12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1741</v>
      </c>
      <c r="B21" t="s">
        <v>41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1741</v>
      </c>
      <c r="B22" t="s">
        <v>27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1741</v>
      </c>
      <c r="B23" t="s">
        <v>17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1741</v>
      </c>
      <c r="B24" t="s">
        <v>19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1741</v>
      </c>
      <c r="B25" t="s">
        <v>54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1741</v>
      </c>
      <c r="B26" t="s">
        <v>9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1741</v>
      </c>
      <c r="B27" t="s">
        <v>8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1741</v>
      </c>
      <c r="B28" t="s">
        <v>61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1741</v>
      </c>
      <c r="B29" t="s">
        <v>63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2"/>
  <sheetViews>
    <sheetView topLeftCell="A104" zoomScaleNormal="100" workbookViewId="0">
      <selection activeCell="H111" sqref="H11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1741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1741</v>
      </c>
      <c r="B3" t="s">
        <v>57</v>
      </c>
      <c r="C3" t="s">
        <v>68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2" x14ac:dyDescent="0.25">
      <c r="A4">
        <v>1741</v>
      </c>
      <c r="B4" t="s">
        <v>36</v>
      </c>
      <c r="C4" t="s">
        <v>68</v>
      </c>
      <c r="D4" t="s">
        <v>33</v>
      </c>
      <c r="H4">
        <v>1000</v>
      </c>
      <c r="J4">
        <f t="shared" si="0"/>
        <v>1000</v>
      </c>
      <c r="L4">
        <f t="shared" si="1"/>
        <v>0.44642857142857145</v>
      </c>
    </row>
    <row r="5" spans="1:12" x14ac:dyDescent="0.25">
      <c r="A5">
        <v>1741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1741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1741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1741</v>
      </c>
      <c r="B8" t="s">
        <v>107</v>
      </c>
      <c r="C8" t="s">
        <v>68</v>
      </c>
      <c r="D8" t="s">
        <v>33</v>
      </c>
      <c r="H8">
        <v>100</v>
      </c>
      <c r="J8">
        <f t="shared" si="0"/>
        <v>100</v>
      </c>
      <c r="L8">
        <f t="shared" si="1"/>
        <v>4.4642857142857144E-2</v>
      </c>
    </row>
    <row r="9" spans="1:12" x14ac:dyDescent="0.25">
      <c r="A9">
        <v>1741</v>
      </c>
      <c r="B9" t="s">
        <v>101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1741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1741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1741</v>
      </c>
      <c r="B12" t="s">
        <v>5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1741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1741</v>
      </c>
      <c r="B14" t="s">
        <v>6</v>
      </c>
      <c r="C14" t="s">
        <v>68</v>
      </c>
      <c r="D14" t="s">
        <v>33</v>
      </c>
      <c r="F14">
        <v>208280</v>
      </c>
      <c r="G14">
        <v>2</v>
      </c>
      <c r="H14">
        <v>7</v>
      </c>
      <c r="J14">
        <f t="shared" si="0"/>
        <v>23327423</v>
      </c>
      <c r="L14">
        <f t="shared" si="1"/>
        <v>10414.028125000001</v>
      </c>
    </row>
    <row r="15" spans="1:12" x14ac:dyDescent="0.25">
      <c r="A15">
        <v>1741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1741</v>
      </c>
      <c r="B16" t="s">
        <v>60</v>
      </c>
      <c r="C16" t="s">
        <v>68</v>
      </c>
      <c r="D16" t="s">
        <v>33</v>
      </c>
      <c r="H16">
        <v>400</v>
      </c>
      <c r="J16">
        <f t="shared" si="0"/>
        <v>400</v>
      </c>
      <c r="L16">
        <f t="shared" si="1"/>
        <v>0.17857142857142858</v>
      </c>
    </row>
    <row r="17" spans="1:12" x14ac:dyDescent="0.25">
      <c r="A17">
        <v>1741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1741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1741</v>
      </c>
      <c r="B19" t="s">
        <v>8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1741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1741</v>
      </c>
      <c r="B21" t="s">
        <v>77</v>
      </c>
      <c r="C21" t="s">
        <v>68</v>
      </c>
      <c r="D21" t="s">
        <v>33</v>
      </c>
      <c r="F21">
        <v>1590</v>
      </c>
      <c r="G21">
        <v>1</v>
      </c>
      <c r="H21">
        <v>17</v>
      </c>
      <c r="J21">
        <f t="shared" si="0"/>
        <v>178125</v>
      </c>
      <c r="L21">
        <f t="shared" si="1"/>
        <v>79.520089285714292</v>
      </c>
    </row>
    <row r="22" spans="1:12" x14ac:dyDescent="0.25">
      <c r="A22">
        <v>1741</v>
      </c>
      <c r="B22" t="s">
        <v>78</v>
      </c>
      <c r="C22" t="s">
        <v>68</v>
      </c>
      <c r="D22" t="s">
        <v>33</v>
      </c>
      <c r="H22">
        <v>63078</v>
      </c>
      <c r="J22">
        <f t="shared" si="0"/>
        <v>63078</v>
      </c>
      <c r="L22">
        <f t="shared" si="1"/>
        <v>28.15982142857143</v>
      </c>
    </row>
    <row r="23" spans="1:12" x14ac:dyDescent="0.25">
      <c r="A23">
        <v>1741</v>
      </c>
      <c r="B23" t="s">
        <v>46</v>
      </c>
      <c r="C23" t="s">
        <v>68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1741</v>
      </c>
      <c r="B24" t="s">
        <v>9</v>
      </c>
      <c r="C24" t="s">
        <v>68</v>
      </c>
      <c r="D24" t="s">
        <v>33</v>
      </c>
      <c r="H24">
        <f>519*200+53</f>
        <v>103853</v>
      </c>
      <c r="I24" t="s">
        <v>123</v>
      </c>
      <c r="J24">
        <f t="shared" si="0"/>
        <v>103853</v>
      </c>
      <c r="L24">
        <f t="shared" si="1"/>
        <v>46.362946428571426</v>
      </c>
    </row>
    <row r="25" spans="1:12" x14ac:dyDescent="0.25">
      <c r="A25">
        <v>1741</v>
      </c>
      <c r="B25" t="s">
        <v>10</v>
      </c>
      <c r="C25" t="s">
        <v>68</v>
      </c>
      <c r="D25" t="s">
        <v>33</v>
      </c>
      <c r="F25">
        <v>4975</v>
      </c>
      <c r="H25">
        <v>7</v>
      </c>
      <c r="J25">
        <f t="shared" si="0"/>
        <v>557207</v>
      </c>
      <c r="L25">
        <f t="shared" si="1"/>
        <v>248.75312500000001</v>
      </c>
    </row>
    <row r="26" spans="1:12" x14ac:dyDescent="0.25">
      <c r="A26">
        <v>1741</v>
      </c>
      <c r="B26" t="s">
        <v>11</v>
      </c>
      <c r="C26" t="s">
        <v>68</v>
      </c>
      <c r="D26" t="s">
        <v>33</v>
      </c>
      <c r="F26">
        <v>39</v>
      </c>
      <c r="G26">
        <v>1</v>
      </c>
      <c r="H26">
        <v>7</v>
      </c>
      <c r="J26">
        <f t="shared" si="0"/>
        <v>4403</v>
      </c>
      <c r="L26">
        <f t="shared" si="1"/>
        <v>1.965625</v>
      </c>
    </row>
    <row r="27" spans="1:12" x14ac:dyDescent="0.25">
      <c r="A27">
        <v>1741</v>
      </c>
      <c r="B27" t="s">
        <v>39</v>
      </c>
      <c r="C27" t="s">
        <v>68</v>
      </c>
      <c r="D27" t="s">
        <v>33</v>
      </c>
      <c r="H27">
        <v>252</v>
      </c>
      <c r="J27">
        <f t="shared" si="0"/>
        <v>252</v>
      </c>
      <c r="L27">
        <f t="shared" si="1"/>
        <v>0.1125</v>
      </c>
    </row>
    <row r="28" spans="1:12" x14ac:dyDescent="0.25">
      <c r="A28">
        <v>1741</v>
      </c>
      <c r="B28" t="s">
        <v>79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1741</v>
      </c>
      <c r="B29" t="s">
        <v>103</v>
      </c>
      <c r="C29" t="s">
        <v>68</v>
      </c>
      <c r="D29" t="s">
        <v>33</v>
      </c>
      <c r="H29">
        <v>1801</v>
      </c>
      <c r="J29">
        <f t="shared" si="0"/>
        <v>1801</v>
      </c>
      <c r="L29">
        <f t="shared" si="1"/>
        <v>0.80401785714285712</v>
      </c>
    </row>
    <row r="30" spans="1:12" x14ac:dyDescent="0.25">
      <c r="A30">
        <v>1741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1741</v>
      </c>
      <c r="B31" t="s">
        <v>97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1741</v>
      </c>
      <c r="B32" t="s">
        <v>12</v>
      </c>
      <c r="C32" t="s">
        <v>68</v>
      </c>
      <c r="D32" t="s">
        <v>33</v>
      </c>
      <c r="H32">
        <v>13012</v>
      </c>
      <c r="J32">
        <f t="shared" si="0"/>
        <v>13012</v>
      </c>
      <c r="L32">
        <f t="shared" si="1"/>
        <v>5.808928571428571</v>
      </c>
    </row>
    <row r="33" spans="1:12" x14ac:dyDescent="0.25">
      <c r="A33">
        <v>1741</v>
      </c>
      <c r="B33" t="s">
        <v>82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1741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1741</v>
      </c>
      <c r="B35" t="s">
        <v>13</v>
      </c>
      <c r="C35" t="s">
        <v>68</v>
      </c>
      <c r="D35" t="s">
        <v>33</v>
      </c>
      <c r="E35">
        <v>12</v>
      </c>
      <c r="J35">
        <f t="shared" si="0"/>
        <v>26880</v>
      </c>
      <c r="L35">
        <f t="shared" si="1"/>
        <v>12</v>
      </c>
    </row>
    <row r="36" spans="1:12" x14ac:dyDescent="0.25">
      <c r="A36">
        <v>1741</v>
      </c>
      <c r="B36" t="s">
        <v>14</v>
      </c>
      <c r="C36" t="s">
        <v>68</v>
      </c>
      <c r="D36" t="s">
        <v>33</v>
      </c>
      <c r="H36">
        <v>45772</v>
      </c>
      <c r="I36" t="s">
        <v>119</v>
      </c>
      <c r="J36">
        <f t="shared" si="0"/>
        <v>45772</v>
      </c>
      <c r="L36">
        <f t="shared" si="1"/>
        <v>20.43392857142857</v>
      </c>
    </row>
    <row r="37" spans="1:12" x14ac:dyDescent="0.25">
      <c r="A37">
        <v>1741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1741</v>
      </c>
      <c r="B38" t="s">
        <v>27</v>
      </c>
      <c r="C38" t="s">
        <v>68</v>
      </c>
      <c r="D38" t="s">
        <v>33</v>
      </c>
      <c r="H38">
        <v>77290</v>
      </c>
      <c r="I38" t="s">
        <v>122</v>
      </c>
      <c r="J38">
        <f t="shared" si="0"/>
        <v>77290</v>
      </c>
      <c r="L38">
        <f t="shared" si="1"/>
        <v>34.504464285714285</v>
      </c>
    </row>
    <row r="39" spans="1:12" x14ac:dyDescent="0.25">
      <c r="A39">
        <v>1741</v>
      </c>
      <c r="B39" t="s">
        <v>15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1741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1741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1741</v>
      </c>
      <c r="B42" t="s">
        <v>47</v>
      </c>
      <c r="C42" t="s">
        <v>68</v>
      </c>
      <c r="D42" t="s">
        <v>33</v>
      </c>
      <c r="H42">
        <v>185</v>
      </c>
      <c r="I42" t="s">
        <v>120</v>
      </c>
      <c r="J42">
        <f t="shared" si="0"/>
        <v>185</v>
      </c>
      <c r="L42">
        <f t="shared" si="1"/>
        <v>8.2589285714285712E-2</v>
      </c>
    </row>
    <row r="43" spans="1:12" x14ac:dyDescent="0.25">
      <c r="A43">
        <v>1741</v>
      </c>
      <c r="B43" t="s">
        <v>16</v>
      </c>
      <c r="C43" t="s">
        <v>68</v>
      </c>
      <c r="D43" t="s">
        <v>33</v>
      </c>
      <c r="H43">
        <v>486974</v>
      </c>
      <c r="J43">
        <f t="shared" si="0"/>
        <v>486974</v>
      </c>
      <c r="L43">
        <f t="shared" si="1"/>
        <v>217.39910714285713</v>
      </c>
    </row>
    <row r="44" spans="1:12" x14ac:dyDescent="0.25">
      <c r="A44">
        <v>1741</v>
      </c>
      <c r="B44" t="s">
        <v>17</v>
      </c>
      <c r="C44" t="s">
        <v>68</v>
      </c>
      <c r="D44" t="s">
        <v>33</v>
      </c>
      <c r="G44">
        <v>2</v>
      </c>
      <c r="J44">
        <f t="shared" si="0"/>
        <v>56</v>
      </c>
      <c r="L44">
        <f t="shared" si="1"/>
        <v>2.5000000000000001E-2</v>
      </c>
    </row>
    <row r="45" spans="1:12" x14ac:dyDescent="0.25">
      <c r="A45">
        <v>1741</v>
      </c>
      <c r="B45" t="s">
        <v>18</v>
      </c>
      <c r="C45" t="s">
        <v>68</v>
      </c>
      <c r="D45" t="s">
        <v>33</v>
      </c>
      <c r="H45">
        <v>1798962</v>
      </c>
      <c r="I45" t="s">
        <v>121</v>
      </c>
      <c r="J45">
        <f t="shared" si="0"/>
        <v>1798962</v>
      </c>
      <c r="L45">
        <f t="shared" si="1"/>
        <v>803.10803571428573</v>
      </c>
    </row>
    <row r="46" spans="1:12" x14ac:dyDescent="0.25">
      <c r="A46">
        <v>1741</v>
      </c>
      <c r="B46" t="s">
        <v>26</v>
      </c>
      <c r="C46" t="s">
        <v>68</v>
      </c>
      <c r="D46" t="s">
        <v>33</v>
      </c>
      <c r="H46">
        <v>16326</v>
      </c>
      <c r="J46">
        <f t="shared" si="0"/>
        <v>16326</v>
      </c>
      <c r="L46">
        <f t="shared" si="1"/>
        <v>7.2883928571428571</v>
      </c>
    </row>
    <row r="47" spans="1:12" x14ac:dyDescent="0.25">
      <c r="A47">
        <v>1741</v>
      </c>
      <c r="B47" t="s">
        <v>84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1741</v>
      </c>
      <c r="B48" t="s">
        <v>19</v>
      </c>
      <c r="C48" t="s">
        <v>68</v>
      </c>
      <c r="D48" t="s">
        <v>33</v>
      </c>
      <c r="F48">
        <v>401</v>
      </c>
      <c r="G48">
        <v>2</v>
      </c>
      <c r="H48">
        <v>1</v>
      </c>
      <c r="J48">
        <f t="shared" si="0"/>
        <v>44969</v>
      </c>
      <c r="L48">
        <f t="shared" si="1"/>
        <v>20.075446428571428</v>
      </c>
    </row>
    <row r="49" spans="1:12" x14ac:dyDescent="0.25">
      <c r="A49">
        <v>1741</v>
      </c>
      <c r="B49" t="s">
        <v>45</v>
      </c>
      <c r="C49" t="s">
        <v>68</v>
      </c>
      <c r="D49" t="s">
        <v>33</v>
      </c>
      <c r="H49">
        <v>74</v>
      </c>
      <c r="J49">
        <f t="shared" si="0"/>
        <v>74</v>
      </c>
      <c r="L49">
        <f t="shared" si="1"/>
        <v>3.3035714285714286E-2</v>
      </c>
    </row>
    <row r="50" spans="1:12" x14ac:dyDescent="0.25">
      <c r="A50">
        <v>1741</v>
      </c>
      <c r="B50" t="s">
        <v>85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1741</v>
      </c>
      <c r="B51" t="s">
        <v>54</v>
      </c>
      <c r="C51" t="s">
        <v>68</v>
      </c>
      <c r="D51" t="s">
        <v>33</v>
      </c>
      <c r="H51">
        <v>933</v>
      </c>
      <c r="J51">
        <f t="shared" si="0"/>
        <v>933</v>
      </c>
      <c r="L51">
        <f t="shared" si="1"/>
        <v>0.41651785714285716</v>
      </c>
    </row>
    <row r="52" spans="1:12" x14ac:dyDescent="0.25">
      <c r="A52">
        <v>1741</v>
      </c>
      <c r="B52" t="s">
        <v>95</v>
      </c>
      <c r="C52" t="s">
        <v>68</v>
      </c>
      <c r="D52" t="s">
        <v>33</v>
      </c>
      <c r="H52">
        <v>1296</v>
      </c>
      <c r="J52">
        <f t="shared" si="0"/>
        <v>1296</v>
      </c>
      <c r="L52">
        <f t="shared" si="1"/>
        <v>0.57857142857142863</v>
      </c>
    </row>
    <row r="53" spans="1:12" x14ac:dyDescent="0.25">
      <c r="A53">
        <v>1741</v>
      </c>
      <c r="B53" t="s">
        <v>20</v>
      </c>
      <c r="C53" t="s">
        <v>68</v>
      </c>
      <c r="D53" t="s">
        <v>33</v>
      </c>
      <c r="H53">
        <v>4957</v>
      </c>
      <c r="J53">
        <f t="shared" si="0"/>
        <v>4957</v>
      </c>
      <c r="L53">
        <f t="shared" si="1"/>
        <v>2.2129464285714286</v>
      </c>
    </row>
    <row r="54" spans="1:12" x14ac:dyDescent="0.25">
      <c r="A54">
        <v>1741</v>
      </c>
      <c r="B54" t="s">
        <v>21</v>
      </c>
      <c r="C54" t="s">
        <v>68</v>
      </c>
      <c r="D54" t="s">
        <v>33</v>
      </c>
      <c r="H54">
        <v>6412</v>
      </c>
      <c r="J54">
        <f t="shared" si="0"/>
        <v>6412</v>
      </c>
      <c r="L54">
        <f t="shared" si="1"/>
        <v>2.8624999999999998</v>
      </c>
    </row>
    <row r="55" spans="1:12" x14ac:dyDescent="0.25">
      <c r="A55">
        <v>1741</v>
      </c>
      <c r="B55" t="s">
        <v>90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1741</v>
      </c>
      <c r="B56" t="s">
        <v>22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1741</v>
      </c>
      <c r="B57" t="s">
        <v>61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1741</v>
      </c>
      <c r="B58" t="s">
        <v>116</v>
      </c>
      <c r="C58" t="s">
        <v>68</v>
      </c>
      <c r="D58" t="s">
        <v>33</v>
      </c>
      <c r="E58">
        <v>9</v>
      </c>
      <c r="F58">
        <v>15</v>
      </c>
    </row>
    <row r="59" spans="1:12" x14ac:dyDescent="0.25">
      <c r="A59">
        <v>1741</v>
      </c>
      <c r="B59" t="s">
        <v>98</v>
      </c>
      <c r="C59" t="s">
        <v>68</v>
      </c>
      <c r="D59" t="s">
        <v>33</v>
      </c>
      <c r="E59">
        <v>11</v>
      </c>
      <c r="F59">
        <v>15</v>
      </c>
      <c r="J59">
        <f t="shared" si="0"/>
        <v>26320</v>
      </c>
      <c r="L59">
        <f t="shared" si="1"/>
        <v>11.75</v>
      </c>
    </row>
    <row r="60" spans="1:12" x14ac:dyDescent="0.25">
      <c r="A60">
        <v>1741</v>
      </c>
      <c r="B60" t="s">
        <v>87</v>
      </c>
      <c r="C60" t="s">
        <v>68</v>
      </c>
      <c r="D60" t="s">
        <v>33</v>
      </c>
      <c r="E60">
        <v>22</v>
      </c>
      <c r="J60">
        <f t="shared" si="0"/>
        <v>49280</v>
      </c>
      <c r="L60">
        <f t="shared" si="1"/>
        <v>22</v>
      </c>
    </row>
    <row r="61" spans="1:12" x14ac:dyDescent="0.25">
      <c r="A61">
        <v>1741</v>
      </c>
      <c r="B61" t="s">
        <v>62</v>
      </c>
      <c r="C61" t="s">
        <v>68</v>
      </c>
      <c r="D61" t="s">
        <v>33</v>
      </c>
      <c r="E61">
        <v>494</v>
      </c>
      <c r="F61">
        <v>16</v>
      </c>
      <c r="J61">
        <f t="shared" si="0"/>
        <v>1108352</v>
      </c>
      <c r="L61">
        <f t="shared" si="1"/>
        <v>494.8</v>
      </c>
    </row>
    <row r="62" spans="1:12" x14ac:dyDescent="0.25">
      <c r="A62">
        <v>1741</v>
      </c>
      <c r="B62" t="s">
        <v>88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1741</v>
      </c>
      <c r="B63" t="s">
        <v>63</v>
      </c>
      <c r="C63" t="s">
        <v>68</v>
      </c>
      <c r="D63" t="s">
        <v>33</v>
      </c>
      <c r="E63">
        <v>133</v>
      </c>
      <c r="F63">
        <v>12</v>
      </c>
      <c r="J63">
        <f t="shared" si="0"/>
        <v>299264</v>
      </c>
      <c r="L63">
        <f t="shared" si="1"/>
        <v>133.6</v>
      </c>
    </row>
    <row r="64" spans="1:12" x14ac:dyDescent="0.25">
      <c r="A64">
        <v>1741</v>
      </c>
      <c r="B64" t="s">
        <v>89</v>
      </c>
      <c r="C64" t="s">
        <v>68</v>
      </c>
      <c r="D64" t="s">
        <v>33</v>
      </c>
      <c r="E64">
        <v>250</v>
      </c>
      <c r="J64">
        <f t="shared" si="0"/>
        <v>560000</v>
      </c>
      <c r="L64">
        <f t="shared" si="1"/>
        <v>250</v>
      </c>
    </row>
    <row r="65" spans="1:12" x14ac:dyDescent="0.25">
      <c r="A65">
        <v>1741</v>
      </c>
      <c r="B65" t="s">
        <v>70</v>
      </c>
      <c r="C65" t="s">
        <v>68</v>
      </c>
      <c r="D65" t="s">
        <v>33</v>
      </c>
      <c r="E65">
        <v>96</v>
      </c>
      <c r="F65">
        <v>9</v>
      </c>
      <c r="G65">
        <v>2</v>
      </c>
      <c r="H65">
        <v>19</v>
      </c>
      <c r="J65">
        <f t="shared" si="0"/>
        <v>216123</v>
      </c>
      <c r="L65">
        <f t="shared" si="1"/>
        <v>96.483482142857142</v>
      </c>
    </row>
    <row r="66" spans="1:12" x14ac:dyDescent="0.25">
      <c r="A66">
        <v>1741</v>
      </c>
      <c r="B66" t="s">
        <v>64</v>
      </c>
      <c r="C66" t="s">
        <v>68</v>
      </c>
      <c r="D66" t="s">
        <v>33</v>
      </c>
      <c r="H66">
        <v>500</v>
      </c>
      <c r="J66">
        <f t="shared" si="0"/>
        <v>500</v>
      </c>
      <c r="L66">
        <f t="shared" si="1"/>
        <v>0.22321428571428573</v>
      </c>
    </row>
    <row r="67" spans="1:12" x14ac:dyDescent="0.25">
      <c r="A67">
        <v>1741</v>
      </c>
      <c r="B67" t="s">
        <v>65</v>
      </c>
      <c r="C67" t="s">
        <v>68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1741</v>
      </c>
      <c r="B68" t="s">
        <v>55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1741</v>
      </c>
      <c r="B69" t="s">
        <v>57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1741</v>
      </c>
      <c r="B70" t="s">
        <v>36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1741</v>
      </c>
      <c r="B71" t="s">
        <v>4</v>
      </c>
      <c r="C71" t="s">
        <v>68</v>
      </c>
      <c r="D71" t="s">
        <v>35</v>
      </c>
      <c r="J71">
        <f t="shared" ref="J71:J132" si="2">(E71*2240)+(F71*112)+(G71*28)+H71</f>
        <v>0</v>
      </c>
      <c r="L71">
        <f t="shared" ref="L71:L132" si="3">J71/2240</f>
        <v>0</v>
      </c>
    </row>
    <row r="72" spans="1:12" x14ac:dyDescent="0.25">
      <c r="A72">
        <v>1741</v>
      </c>
      <c r="B72" t="s">
        <v>58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1741</v>
      </c>
      <c r="B73" t="s">
        <v>69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1741</v>
      </c>
      <c r="B74" t="s">
        <v>101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1741</v>
      </c>
      <c r="B75" t="s">
        <v>43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1741</v>
      </c>
      <c r="B76" t="s">
        <v>76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1741</v>
      </c>
      <c r="B77" t="s">
        <v>5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1741</v>
      </c>
      <c r="B78" t="s">
        <v>59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1741</v>
      </c>
      <c r="B79" t="s">
        <v>6</v>
      </c>
      <c r="C79" t="s">
        <v>68</v>
      </c>
      <c r="D79" t="s">
        <v>35</v>
      </c>
      <c r="F79">
        <v>129926</v>
      </c>
      <c r="G79">
        <v>1</v>
      </c>
      <c r="H79">
        <v>11</v>
      </c>
      <c r="J79">
        <f t="shared" si="2"/>
        <v>14551751</v>
      </c>
      <c r="L79">
        <f t="shared" si="3"/>
        <v>6496.3174107142859</v>
      </c>
    </row>
    <row r="80" spans="1:12" x14ac:dyDescent="0.25">
      <c r="A80">
        <v>1741</v>
      </c>
      <c r="B80" t="s">
        <v>60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1741</v>
      </c>
      <c r="B81" t="s">
        <v>38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1741</v>
      </c>
      <c r="B82" t="s">
        <v>37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1741</v>
      </c>
      <c r="B83" t="s">
        <v>8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1741</v>
      </c>
      <c r="B84" t="s">
        <v>40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1741</v>
      </c>
      <c r="B85" t="s">
        <v>77</v>
      </c>
      <c r="C85" t="s">
        <v>68</v>
      </c>
      <c r="D85" t="s">
        <v>35</v>
      </c>
      <c r="F85">
        <v>58</v>
      </c>
      <c r="H85">
        <v>19</v>
      </c>
      <c r="J85">
        <f t="shared" si="2"/>
        <v>6515</v>
      </c>
      <c r="L85">
        <f t="shared" si="3"/>
        <v>2.9084821428571428</v>
      </c>
    </row>
    <row r="86" spans="1:12" x14ac:dyDescent="0.25">
      <c r="A86">
        <v>1741</v>
      </c>
      <c r="B86" t="s">
        <v>78</v>
      </c>
      <c r="C86" t="s">
        <v>68</v>
      </c>
      <c r="D86" t="s">
        <v>35</v>
      </c>
      <c r="H86">
        <v>255</v>
      </c>
      <c r="J86">
        <f t="shared" si="2"/>
        <v>255</v>
      </c>
      <c r="L86">
        <f t="shared" si="3"/>
        <v>0.11383928571428571</v>
      </c>
    </row>
    <row r="87" spans="1:12" x14ac:dyDescent="0.25">
      <c r="A87">
        <v>1741</v>
      </c>
      <c r="B87" t="s">
        <v>46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1741</v>
      </c>
      <c r="B88" t="s">
        <v>9</v>
      </c>
      <c r="C88" t="s">
        <v>68</v>
      </c>
      <c r="D88" t="s">
        <v>35</v>
      </c>
      <c r="H88">
        <f>1674*200+154</f>
        <v>334954</v>
      </c>
      <c r="I88" t="s">
        <v>147</v>
      </c>
      <c r="J88">
        <f t="shared" si="2"/>
        <v>334954</v>
      </c>
      <c r="L88">
        <f t="shared" si="3"/>
        <v>149.53303571428572</v>
      </c>
    </row>
    <row r="89" spans="1:12" x14ac:dyDescent="0.25">
      <c r="A89">
        <v>1741</v>
      </c>
      <c r="B89" t="s">
        <v>10</v>
      </c>
      <c r="C89" t="s">
        <v>68</v>
      </c>
      <c r="D89" t="s">
        <v>35</v>
      </c>
      <c r="F89">
        <v>5660</v>
      </c>
      <c r="G89">
        <v>2</v>
      </c>
      <c r="H89">
        <v>23</v>
      </c>
      <c r="J89">
        <f t="shared" si="2"/>
        <v>633999</v>
      </c>
      <c r="L89">
        <f t="shared" si="3"/>
        <v>283.03526785714286</v>
      </c>
    </row>
    <row r="90" spans="1:12" x14ac:dyDescent="0.25">
      <c r="A90">
        <v>1741</v>
      </c>
      <c r="B90" t="s">
        <v>11</v>
      </c>
      <c r="C90" t="s">
        <v>68</v>
      </c>
      <c r="D90" t="s">
        <v>35</v>
      </c>
      <c r="F90">
        <v>160</v>
      </c>
      <c r="H90">
        <v>17</v>
      </c>
      <c r="J90">
        <f t="shared" si="2"/>
        <v>17937</v>
      </c>
      <c r="L90">
        <f t="shared" si="3"/>
        <v>8.0075892857142854</v>
      </c>
    </row>
    <row r="91" spans="1:12" x14ac:dyDescent="0.25">
      <c r="A91">
        <v>1741</v>
      </c>
      <c r="B91" t="s">
        <v>39</v>
      </c>
      <c r="C91" t="s">
        <v>68</v>
      </c>
      <c r="D91" t="s">
        <v>35</v>
      </c>
      <c r="H91">
        <v>14</v>
      </c>
      <c r="J91">
        <f t="shared" si="2"/>
        <v>14</v>
      </c>
      <c r="L91">
        <f t="shared" si="3"/>
        <v>6.2500000000000003E-3</v>
      </c>
    </row>
    <row r="92" spans="1:12" x14ac:dyDescent="0.25">
      <c r="A92">
        <v>1741</v>
      </c>
      <c r="B92" t="s">
        <v>79</v>
      </c>
      <c r="C92" t="s">
        <v>68</v>
      </c>
      <c r="D92" t="s">
        <v>35</v>
      </c>
      <c r="H92">
        <v>190</v>
      </c>
      <c r="J92">
        <f t="shared" si="2"/>
        <v>190</v>
      </c>
      <c r="L92">
        <f t="shared" si="3"/>
        <v>8.4821428571428575E-2</v>
      </c>
    </row>
    <row r="93" spans="1:12" x14ac:dyDescent="0.25">
      <c r="A93">
        <v>1741</v>
      </c>
      <c r="B93" t="s">
        <v>103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1741</v>
      </c>
      <c r="B94" t="s">
        <v>44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1741</v>
      </c>
      <c r="B95" t="s">
        <v>97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1741</v>
      </c>
      <c r="B96" t="s">
        <v>12</v>
      </c>
      <c r="C96" t="s">
        <v>68</v>
      </c>
      <c r="D96" t="s">
        <v>35</v>
      </c>
      <c r="H96">
        <f>256+768</f>
        <v>1024</v>
      </c>
      <c r="J96">
        <f t="shared" si="2"/>
        <v>1024</v>
      </c>
      <c r="L96">
        <f t="shared" si="3"/>
        <v>0.45714285714285713</v>
      </c>
    </row>
    <row r="97" spans="1:12" x14ac:dyDescent="0.25">
      <c r="A97">
        <v>1741</v>
      </c>
      <c r="B97" t="s">
        <v>82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1741</v>
      </c>
      <c r="B98" t="s">
        <v>34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1741</v>
      </c>
      <c r="B99" t="s">
        <v>13</v>
      </c>
      <c r="C99" t="s">
        <v>68</v>
      </c>
      <c r="D99" t="s">
        <v>35</v>
      </c>
      <c r="E99">
        <v>8</v>
      </c>
      <c r="F99">
        <v>19</v>
      </c>
      <c r="G99">
        <v>3</v>
      </c>
      <c r="H99">
        <v>16</v>
      </c>
      <c r="J99">
        <f t="shared" si="2"/>
        <v>20148</v>
      </c>
      <c r="L99">
        <f t="shared" si="3"/>
        <v>8.9946428571428569</v>
      </c>
    </row>
    <row r="100" spans="1:12" x14ac:dyDescent="0.25">
      <c r="A100">
        <v>1741</v>
      </c>
      <c r="B100" t="s">
        <v>14</v>
      </c>
      <c r="C100" t="s">
        <v>68</v>
      </c>
      <c r="D100" t="s">
        <v>35</v>
      </c>
      <c r="H100">
        <v>2690.5</v>
      </c>
      <c r="I100" t="s">
        <v>144</v>
      </c>
      <c r="J100">
        <f t="shared" si="2"/>
        <v>2690.5</v>
      </c>
      <c r="L100">
        <f t="shared" si="3"/>
        <v>1.2011160714285714</v>
      </c>
    </row>
    <row r="101" spans="1:12" x14ac:dyDescent="0.25">
      <c r="A101">
        <v>1741</v>
      </c>
      <c r="B101" t="s">
        <v>23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1741</v>
      </c>
      <c r="B102" t="s">
        <v>27</v>
      </c>
      <c r="C102" t="s">
        <v>68</v>
      </c>
      <c r="D102" t="s">
        <v>35</v>
      </c>
      <c r="H102">
        <v>25446.5</v>
      </c>
      <c r="I102" t="s">
        <v>146</v>
      </c>
      <c r="J102">
        <f t="shared" si="2"/>
        <v>25446.5</v>
      </c>
      <c r="L102">
        <f t="shared" si="3"/>
        <v>11.360044642857142</v>
      </c>
    </row>
    <row r="103" spans="1:12" x14ac:dyDescent="0.25">
      <c r="A103">
        <v>1741</v>
      </c>
      <c r="B103" t="s">
        <v>15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1741</v>
      </c>
      <c r="B104" t="s">
        <v>93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1741</v>
      </c>
      <c r="B105" t="s">
        <v>42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1741</v>
      </c>
      <c r="B106" t="s">
        <v>83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1741</v>
      </c>
      <c r="B107" t="s">
        <v>47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1741</v>
      </c>
      <c r="B108" t="s">
        <v>16</v>
      </c>
      <c r="C108" t="s">
        <v>68</v>
      </c>
      <c r="D108" t="s">
        <v>35</v>
      </c>
      <c r="H108">
        <v>261164</v>
      </c>
      <c r="J108">
        <f t="shared" si="2"/>
        <v>261164</v>
      </c>
      <c r="L108">
        <f t="shared" si="3"/>
        <v>116.59107142857142</v>
      </c>
    </row>
    <row r="109" spans="1:12" x14ac:dyDescent="0.25">
      <c r="A109">
        <v>1741</v>
      </c>
      <c r="B109" t="s">
        <v>17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1741</v>
      </c>
      <c r="B110" t="s">
        <v>18</v>
      </c>
      <c r="C110" t="s">
        <v>68</v>
      </c>
      <c r="D110" t="s">
        <v>35</v>
      </c>
      <c r="H110">
        <v>479403</v>
      </c>
      <c r="I110" t="s">
        <v>145</v>
      </c>
      <c r="J110">
        <f t="shared" si="2"/>
        <v>479403</v>
      </c>
      <c r="L110">
        <f t="shared" si="3"/>
        <v>214.01919642857143</v>
      </c>
    </row>
    <row r="111" spans="1:12" x14ac:dyDescent="0.25">
      <c r="A111">
        <v>1741</v>
      </c>
      <c r="B111" t="s">
        <v>26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1741</v>
      </c>
      <c r="B112" t="s">
        <v>84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1741</v>
      </c>
      <c r="B113" t="s">
        <v>19</v>
      </c>
      <c r="C113" t="s">
        <v>68</v>
      </c>
      <c r="D113" t="s">
        <v>35</v>
      </c>
      <c r="F113">
        <v>297</v>
      </c>
      <c r="G113">
        <v>2</v>
      </c>
      <c r="H113">
        <v>16</v>
      </c>
      <c r="J113">
        <f t="shared" si="2"/>
        <v>33336</v>
      </c>
      <c r="L113">
        <f t="shared" si="3"/>
        <v>14.882142857142858</v>
      </c>
    </row>
    <row r="114" spans="1:12" x14ac:dyDescent="0.25">
      <c r="A114">
        <v>1741</v>
      </c>
      <c r="B114" t="s">
        <v>45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1741</v>
      </c>
      <c r="B115" t="s">
        <v>85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1741</v>
      </c>
      <c r="B116" t="s">
        <v>54</v>
      </c>
      <c r="C116" t="s">
        <v>68</v>
      </c>
      <c r="D116" t="s">
        <v>35</v>
      </c>
      <c r="H116">
        <v>208</v>
      </c>
      <c r="J116">
        <f t="shared" si="2"/>
        <v>208</v>
      </c>
      <c r="L116">
        <f t="shared" si="3"/>
        <v>9.285714285714286E-2</v>
      </c>
    </row>
    <row r="117" spans="1:12" x14ac:dyDescent="0.25">
      <c r="A117">
        <v>1741</v>
      </c>
      <c r="B117" t="s">
        <v>95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1741</v>
      </c>
      <c r="B118" t="s">
        <v>20</v>
      </c>
      <c r="C118" t="s">
        <v>68</v>
      </c>
      <c r="D118" t="s">
        <v>35</v>
      </c>
      <c r="H118">
        <v>8023</v>
      </c>
      <c r="J118">
        <f t="shared" si="2"/>
        <v>8023</v>
      </c>
      <c r="L118">
        <f t="shared" si="3"/>
        <v>3.5816964285714286</v>
      </c>
    </row>
    <row r="119" spans="1:12" x14ac:dyDescent="0.25">
      <c r="A119">
        <v>1741</v>
      </c>
      <c r="B119" t="s">
        <v>21</v>
      </c>
      <c r="C119" t="s">
        <v>68</v>
      </c>
      <c r="D119" t="s">
        <v>35</v>
      </c>
      <c r="H119">
        <v>697</v>
      </c>
      <c r="J119">
        <f t="shared" si="2"/>
        <v>697</v>
      </c>
      <c r="L119">
        <f t="shared" si="3"/>
        <v>0.31116071428571429</v>
      </c>
    </row>
    <row r="120" spans="1:12" x14ac:dyDescent="0.25">
      <c r="A120">
        <v>1741</v>
      </c>
      <c r="B120" t="s">
        <v>90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1741</v>
      </c>
      <c r="B121" t="s">
        <v>22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1741</v>
      </c>
      <c r="B122" t="s">
        <v>61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1741</v>
      </c>
      <c r="B123" t="s">
        <v>91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1741</v>
      </c>
      <c r="B124" t="s">
        <v>98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1741</v>
      </c>
      <c r="B125" t="s">
        <v>87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1741</v>
      </c>
      <c r="B126" t="s">
        <v>62</v>
      </c>
      <c r="C126" t="s">
        <v>68</v>
      </c>
      <c r="D126" t="s">
        <v>35</v>
      </c>
      <c r="E126">
        <v>274</v>
      </c>
      <c r="F126">
        <v>4</v>
      </c>
      <c r="G126">
        <v>2</v>
      </c>
      <c r="H126">
        <v>26</v>
      </c>
      <c r="J126">
        <f t="shared" si="2"/>
        <v>614290</v>
      </c>
      <c r="L126">
        <f t="shared" si="3"/>
        <v>274.23660714285717</v>
      </c>
    </row>
    <row r="127" spans="1:12" x14ac:dyDescent="0.25">
      <c r="A127">
        <v>1741</v>
      </c>
      <c r="B127" t="s">
        <v>88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1741</v>
      </c>
      <c r="B128" t="s">
        <v>63</v>
      </c>
      <c r="C128" t="s">
        <v>68</v>
      </c>
      <c r="D128" t="s">
        <v>35</v>
      </c>
      <c r="E128">
        <v>16</v>
      </c>
      <c r="F128">
        <v>19</v>
      </c>
      <c r="G128">
        <v>1</v>
      </c>
      <c r="H128">
        <v>20</v>
      </c>
      <c r="J128">
        <f t="shared" si="2"/>
        <v>38016</v>
      </c>
      <c r="L128">
        <f t="shared" si="3"/>
        <v>16.971428571428572</v>
      </c>
    </row>
    <row r="129" spans="1:12" x14ac:dyDescent="0.25">
      <c r="A129">
        <v>1741</v>
      </c>
      <c r="B129" t="s">
        <v>89</v>
      </c>
      <c r="C129" t="s">
        <v>68</v>
      </c>
      <c r="D129" t="s">
        <v>35</v>
      </c>
      <c r="E129">
        <v>150</v>
      </c>
      <c r="G129">
        <v>1</v>
      </c>
      <c r="H129">
        <v>21</v>
      </c>
      <c r="J129">
        <f t="shared" si="2"/>
        <v>336049</v>
      </c>
      <c r="L129">
        <f t="shared" si="3"/>
        <v>150.02187499999999</v>
      </c>
    </row>
    <row r="130" spans="1:12" x14ac:dyDescent="0.25">
      <c r="A130">
        <v>1741</v>
      </c>
      <c r="B130" t="s">
        <v>70</v>
      </c>
      <c r="C130" t="s">
        <v>68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1741</v>
      </c>
      <c r="B131" t="s">
        <v>64</v>
      </c>
      <c r="C131" t="s">
        <v>68</v>
      </c>
      <c r="D131" t="s">
        <v>35</v>
      </c>
      <c r="E131">
        <v>3</v>
      </c>
      <c r="J131">
        <f t="shared" si="2"/>
        <v>6720</v>
      </c>
      <c r="L131">
        <f t="shared" si="3"/>
        <v>3</v>
      </c>
    </row>
    <row r="132" spans="1:12" x14ac:dyDescent="0.25">
      <c r="A132">
        <v>1741</v>
      </c>
      <c r="B132" t="s">
        <v>65</v>
      </c>
      <c r="C132" t="s">
        <v>68</v>
      </c>
      <c r="D132" t="s">
        <v>35</v>
      </c>
      <c r="J132">
        <f t="shared" si="2"/>
        <v>0</v>
      </c>
      <c r="L132">
        <f t="shared" si="3"/>
        <v>0</v>
      </c>
    </row>
  </sheetData>
  <autoFilter ref="A1:O63" xr:uid="{8C2F7725-5A61-4A1B-A740-CC887BCB0E68}">
    <sortState xmlns:xlrd2="http://schemas.microsoft.com/office/spreadsheetml/2017/richdata2" ref="A2:O63">
      <sortCondition ref="B1:B6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92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1741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1741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1741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1741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1741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1741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1741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1741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1741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1741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1741</v>
      </c>
      <c r="B12" t="s">
        <v>6</v>
      </c>
      <c r="C12" t="s">
        <v>72</v>
      </c>
      <c r="D12" t="s">
        <v>33</v>
      </c>
      <c r="F12">
        <v>31654</v>
      </c>
      <c r="G12">
        <v>3</v>
      </c>
      <c r="H12">
        <v>18</v>
      </c>
      <c r="J12">
        <f t="shared" si="0"/>
        <v>3545350</v>
      </c>
      <c r="L12">
        <f t="shared" si="1"/>
        <v>1582.7455357142858</v>
      </c>
    </row>
    <row r="13" spans="1:15" x14ac:dyDescent="0.25">
      <c r="A13">
        <v>1741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1741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1741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1741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1741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1741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1741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1741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1741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1741</v>
      </c>
      <c r="B22" t="s">
        <v>9</v>
      </c>
      <c r="C22" t="s">
        <v>72</v>
      </c>
      <c r="D22" t="s">
        <v>33</v>
      </c>
      <c r="H22">
        <f>64*200+128</f>
        <v>12928</v>
      </c>
      <c r="I22" t="s">
        <v>127</v>
      </c>
      <c r="J22">
        <f t="shared" si="0"/>
        <v>12928</v>
      </c>
      <c r="L22">
        <f t="shared" si="1"/>
        <v>5.7714285714285714</v>
      </c>
    </row>
    <row r="23" spans="1:12" x14ac:dyDescent="0.25">
      <c r="A23">
        <v>1741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1741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1741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1741</v>
      </c>
      <c r="B26" t="s">
        <v>79</v>
      </c>
      <c r="C26" t="s">
        <v>72</v>
      </c>
      <c r="D26" t="s">
        <v>33</v>
      </c>
      <c r="H26">
        <v>647</v>
      </c>
      <c r="J26">
        <f t="shared" si="0"/>
        <v>647</v>
      </c>
      <c r="L26">
        <f t="shared" si="1"/>
        <v>0.28883928571428569</v>
      </c>
    </row>
    <row r="27" spans="1:12" x14ac:dyDescent="0.25">
      <c r="A27">
        <v>1741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1741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1741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1741</v>
      </c>
      <c r="B30" t="s">
        <v>12</v>
      </c>
      <c r="C30" t="s">
        <v>72</v>
      </c>
      <c r="D30" t="s">
        <v>33</v>
      </c>
      <c r="H30">
        <v>4021</v>
      </c>
      <c r="J30">
        <f t="shared" si="0"/>
        <v>4021</v>
      </c>
      <c r="L30">
        <f t="shared" si="1"/>
        <v>1.7950892857142857</v>
      </c>
    </row>
    <row r="31" spans="1:12" x14ac:dyDescent="0.25">
      <c r="A31">
        <v>1741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1741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1741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1741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1741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1741</v>
      </c>
      <c r="B36" t="s">
        <v>27</v>
      </c>
      <c r="C36" t="s">
        <v>72</v>
      </c>
      <c r="D36" t="s">
        <v>33</v>
      </c>
      <c r="H36">
        <v>1070.5</v>
      </c>
      <c r="I36" t="s">
        <v>126</v>
      </c>
      <c r="J36">
        <f t="shared" si="0"/>
        <v>1070.5</v>
      </c>
      <c r="L36">
        <f t="shared" si="1"/>
        <v>0.47790178571428571</v>
      </c>
    </row>
    <row r="37" spans="1:12" x14ac:dyDescent="0.25">
      <c r="A37">
        <v>1741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1741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1741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1741</v>
      </c>
      <c r="B40" t="s">
        <v>47</v>
      </c>
      <c r="C40" t="s">
        <v>72</v>
      </c>
      <c r="D40" t="s">
        <v>33</v>
      </c>
      <c r="H40">
        <v>40</v>
      </c>
      <c r="I40" t="s">
        <v>124</v>
      </c>
      <c r="J40">
        <f t="shared" si="0"/>
        <v>40</v>
      </c>
      <c r="L40">
        <f t="shared" si="1"/>
        <v>1.7857142857142856E-2</v>
      </c>
    </row>
    <row r="41" spans="1:12" x14ac:dyDescent="0.25">
      <c r="A41">
        <v>1741</v>
      </c>
      <c r="B41" t="s">
        <v>16</v>
      </c>
      <c r="C41" t="s">
        <v>72</v>
      </c>
      <c r="D41" t="s">
        <v>33</v>
      </c>
      <c r="H41">
        <v>173</v>
      </c>
      <c r="J41">
        <f t="shared" si="0"/>
        <v>173</v>
      </c>
      <c r="L41">
        <f t="shared" si="1"/>
        <v>7.723214285714286E-2</v>
      </c>
    </row>
    <row r="42" spans="1:12" x14ac:dyDescent="0.25">
      <c r="A42">
        <v>1741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1741</v>
      </c>
      <c r="B43" t="s">
        <v>18</v>
      </c>
      <c r="C43" t="s">
        <v>72</v>
      </c>
      <c r="D43" t="s">
        <v>33</v>
      </c>
      <c r="H43">
        <v>32123.5</v>
      </c>
      <c r="I43" t="s">
        <v>125</v>
      </c>
      <c r="J43">
        <f t="shared" si="0"/>
        <v>32123.5</v>
      </c>
      <c r="L43">
        <f t="shared" si="1"/>
        <v>14.340848214285714</v>
      </c>
    </row>
    <row r="44" spans="1:12" x14ac:dyDescent="0.25">
      <c r="A44">
        <v>1741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1741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1741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1741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1741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1741</v>
      </c>
      <c r="B49" t="s">
        <v>54</v>
      </c>
      <c r="C49" t="s">
        <v>72</v>
      </c>
      <c r="D49" t="s">
        <v>33</v>
      </c>
      <c r="H49">
        <v>11</v>
      </c>
      <c r="J49">
        <f t="shared" si="0"/>
        <v>11</v>
      </c>
      <c r="L49">
        <f t="shared" si="1"/>
        <v>4.9107142857142856E-3</v>
      </c>
    </row>
    <row r="50" spans="1:12" x14ac:dyDescent="0.25">
      <c r="A50">
        <v>1741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1741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1741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1741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1741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1741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1741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1741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1741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1741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1741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1741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1741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1741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1741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1741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1741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1741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1741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1741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1741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1741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1741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1741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1741</v>
      </c>
      <c r="B74" t="s">
        <v>6</v>
      </c>
      <c r="C74" t="s">
        <v>72</v>
      </c>
      <c r="D74" t="s">
        <v>35</v>
      </c>
      <c r="F74">
        <v>5768</v>
      </c>
      <c r="G74">
        <v>3</v>
      </c>
      <c r="H74">
        <v>3</v>
      </c>
      <c r="J74">
        <f t="shared" si="2"/>
        <v>646103</v>
      </c>
      <c r="L74">
        <f t="shared" si="3"/>
        <v>288.43883928571427</v>
      </c>
    </row>
    <row r="75" spans="1:12" x14ac:dyDescent="0.25">
      <c r="A75">
        <v>1741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1741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1741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1741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1741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1741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1741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1741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1741</v>
      </c>
      <c r="B83" t="s">
        <v>9</v>
      </c>
      <c r="C83" t="s">
        <v>72</v>
      </c>
      <c r="D83" t="s">
        <v>35</v>
      </c>
      <c r="H83">
        <f>41*200</f>
        <v>8200</v>
      </c>
      <c r="I83" t="s">
        <v>149</v>
      </c>
      <c r="J83">
        <f t="shared" si="2"/>
        <v>8200</v>
      </c>
      <c r="L83">
        <f t="shared" si="3"/>
        <v>3.6607142857142856</v>
      </c>
    </row>
    <row r="84" spans="1:12" x14ac:dyDescent="0.25">
      <c r="A84">
        <v>1741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1741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1741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1741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1741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1741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1741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1741</v>
      </c>
      <c r="B91" t="s">
        <v>12</v>
      </c>
      <c r="C91" t="s">
        <v>72</v>
      </c>
      <c r="D91" t="s">
        <v>35</v>
      </c>
      <c r="H91">
        <v>290</v>
      </c>
      <c r="J91">
        <f t="shared" si="2"/>
        <v>290</v>
      </c>
      <c r="L91">
        <f t="shared" si="3"/>
        <v>0.12946428571428573</v>
      </c>
    </row>
    <row r="92" spans="1:12" x14ac:dyDescent="0.25">
      <c r="A92">
        <v>1741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1741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1741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1741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1741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1741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1741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1741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1741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1741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1741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1741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1741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1741</v>
      </c>
      <c r="B105" t="s">
        <v>18</v>
      </c>
      <c r="C105" t="s">
        <v>72</v>
      </c>
      <c r="D105" t="s">
        <v>35</v>
      </c>
      <c r="H105">
        <v>6721.5</v>
      </c>
      <c r="I105" t="s">
        <v>148</v>
      </c>
      <c r="J105">
        <f t="shared" si="2"/>
        <v>6721.5</v>
      </c>
      <c r="L105">
        <f t="shared" si="3"/>
        <v>3.0006696428571429</v>
      </c>
    </row>
    <row r="106" spans="1:12" x14ac:dyDescent="0.25">
      <c r="A106">
        <v>1741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1741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1741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1741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1741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1741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1741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1741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1741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1741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1741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1741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1741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1741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1741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1741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1741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1741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1741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1741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1741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71" workbookViewId="0">
      <selection activeCell="H84" sqref="H8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1741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1741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1741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1741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1741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1741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1741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1741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1741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1741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1741</v>
      </c>
      <c r="B12" t="s">
        <v>6</v>
      </c>
      <c r="C12" t="s">
        <v>73</v>
      </c>
      <c r="D12" t="s">
        <v>33</v>
      </c>
      <c r="F12">
        <v>34944</v>
      </c>
      <c r="G12">
        <v>1</v>
      </c>
      <c r="H12">
        <v>7</v>
      </c>
      <c r="J12">
        <f t="shared" si="0"/>
        <v>3913763</v>
      </c>
      <c r="L12">
        <f t="shared" si="1"/>
        <v>1747.215625</v>
      </c>
    </row>
    <row r="13" spans="1:15" x14ac:dyDescent="0.25">
      <c r="A13">
        <v>1741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1741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1741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1741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1741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1741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1741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1741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1741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1741</v>
      </c>
      <c r="B22" t="s">
        <v>9</v>
      </c>
      <c r="C22" t="s">
        <v>73</v>
      </c>
      <c r="D22" t="s">
        <v>33</v>
      </c>
      <c r="H22">
        <f>34*200+100</f>
        <v>6900</v>
      </c>
      <c r="I22" t="s">
        <v>131</v>
      </c>
      <c r="J22">
        <f t="shared" si="0"/>
        <v>6900</v>
      </c>
      <c r="L22">
        <f t="shared" si="1"/>
        <v>3.0803571428571428</v>
      </c>
    </row>
    <row r="23" spans="1:12" x14ac:dyDescent="0.25">
      <c r="A23">
        <v>1741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1741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1741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1741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1741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1741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1741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1741</v>
      </c>
      <c r="B30" t="s">
        <v>12</v>
      </c>
      <c r="C30" t="s">
        <v>73</v>
      </c>
      <c r="D30" t="s">
        <v>33</v>
      </c>
      <c r="H30">
        <v>100</v>
      </c>
      <c r="J30">
        <f t="shared" si="0"/>
        <v>100</v>
      </c>
      <c r="L30">
        <f t="shared" si="1"/>
        <v>4.4642857142857144E-2</v>
      </c>
    </row>
    <row r="31" spans="1:12" x14ac:dyDescent="0.25">
      <c r="A31">
        <v>1741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1741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1741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1741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1741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1741</v>
      </c>
      <c r="B36" t="s">
        <v>27</v>
      </c>
      <c r="C36" t="s">
        <v>73</v>
      </c>
      <c r="D36" t="s">
        <v>33</v>
      </c>
      <c r="H36">
        <v>6461.5</v>
      </c>
      <c r="I36" t="s">
        <v>130</v>
      </c>
      <c r="J36">
        <f t="shared" si="0"/>
        <v>6461.5</v>
      </c>
      <c r="L36">
        <f t="shared" si="1"/>
        <v>2.8845982142857145</v>
      </c>
    </row>
    <row r="37" spans="1:12" x14ac:dyDescent="0.25">
      <c r="A37">
        <v>1741</v>
      </c>
      <c r="B37" t="s">
        <v>15</v>
      </c>
      <c r="C37" t="s">
        <v>73</v>
      </c>
      <c r="D37" t="s">
        <v>33</v>
      </c>
      <c r="F37">
        <v>7</v>
      </c>
      <c r="J37">
        <f t="shared" si="0"/>
        <v>784</v>
      </c>
      <c r="L37">
        <f t="shared" si="1"/>
        <v>0.35</v>
      </c>
    </row>
    <row r="38" spans="1:12" x14ac:dyDescent="0.25">
      <c r="A38">
        <v>1741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1741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1741</v>
      </c>
      <c r="B40" t="s">
        <v>47</v>
      </c>
      <c r="C40" t="s">
        <v>73</v>
      </c>
      <c r="D40" t="s">
        <v>33</v>
      </c>
      <c r="H40">
        <v>30</v>
      </c>
      <c r="I40" t="s">
        <v>128</v>
      </c>
      <c r="J40">
        <f t="shared" si="0"/>
        <v>30</v>
      </c>
      <c r="L40">
        <f t="shared" si="1"/>
        <v>1.3392857142857142E-2</v>
      </c>
    </row>
    <row r="41" spans="1:12" x14ac:dyDescent="0.25">
      <c r="A41">
        <v>1741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1741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1741</v>
      </c>
      <c r="B43" t="s">
        <v>18</v>
      </c>
      <c r="C43" t="s">
        <v>73</v>
      </c>
      <c r="D43" t="s">
        <v>33</v>
      </c>
      <c r="H43">
        <v>7632</v>
      </c>
      <c r="I43" t="s">
        <v>129</v>
      </c>
      <c r="J43">
        <f t="shared" si="0"/>
        <v>7632</v>
      </c>
      <c r="L43">
        <f t="shared" si="1"/>
        <v>3.407142857142857</v>
      </c>
    </row>
    <row r="44" spans="1:12" x14ac:dyDescent="0.25">
      <c r="A44">
        <v>1741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1741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1741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1741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1741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1741</v>
      </c>
      <c r="B49" t="s">
        <v>54</v>
      </c>
      <c r="C49" t="s">
        <v>73</v>
      </c>
      <c r="D49" t="s">
        <v>33</v>
      </c>
      <c r="H49">
        <v>149</v>
      </c>
      <c r="J49">
        <f t="shared" si="0"/>
        <v>149</v>
      </c>
      <c r="L49">
        <f t="shared" si="1"/>
        <v>6.6517857142857142E-2</v>
      </c>
    </row>
    <row r="50" spans="1:12" x14ac:dyDescent="0.25">
      <c r="A50">
        <v>1741</v>
      </c>
      <c r="B50" t="s">
        <v>95</v>
      </c>
      <c r="C50" t="s">
        <v>73</v>
      </c>
      <c r="D50" t="s">
        <v>33</v>
      </c>
      <c r="H50">
        <v>56</v>
      </c>
      <c r="J50">
        <f t="shared" si="0"/>
        <v>56</v>
      </c>
      <c r="L50">
        <f t="shared" si="1"/>
        <v>2.5000000000000001E-2</v>
      </c>
    </row>
    <row r="51" spans="1:12" x14ac:dyDescent="0.25">
      <c r="A51">
        <v>1741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1741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1741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1741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1741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1741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1741</v>
      </c>
      <c r="B57" t="s">
        <v>62</v>
      </c>
      <c r="C57" t="s">
        <v>73</v>
      </c>
      <c r="D57" t="s">
        <v>33</v>
      </c>
      <c r="E57">
        <v>5</v>
      </c>
      <c r="J57">
        <f t="shared" si="0"/>
        <v>11200</v>
      </c>
      <c r="L57">
        <f t="shared" si="1"/>
        <v>5</v>
      </c>
    </row>
    <row r="58" spans="1:12" x14ac:dyDescent="0.25">
      <c r="A58">
        <v>1741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1741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1741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1741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1741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1741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1741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1741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1741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1741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1741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1741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1741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1741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1741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1741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1741</v>
      </c>
      <c r="B74" t="s">
        <v>6</v>
      </c>
      <c r="C74" t="s">
        <v>73</v>
      </c>
      <c r="D74" t="s">
        <v>35</v>
      </c>
      <c r="F74">
        <v>3929</v>
      </c>
      <c r="G74">
        <v>3</v>
      </c>
      <c r="H74">
        <v>18</v>
      </c>
      <c r="J74">
        <f t="shared" si="2"/>
        <v>440150</v>
      </c>
      <c r="L74">
        <f t="shared" si="3"/>
        <v>196.49553571428572</v>
      </c>
    </row>
    <row r="75" spans="1:12" x14ac:dyDescent="0.25">
      <c r="A75">
        <v>1741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1741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1741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1741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1741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1741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1741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1741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1741</v>
      </c>
      <c r="B83" t="s">
        <v>9</v>
      </c>
      <c r="C83" t="s">
        <v>73</v>
      </c>
      <c r="D83" t="s">
        <v>35</v>
      </c>
      <c r="H83">
        <v>122</v>
      </c>
      <c r="J83">
        <f t="shared" si="2"/>
        <v>122</v>
      </c>
      <c r="L83">
        <f t="shared" si="3"/>
        <v>5.4464285714285715E-2</v>
      </c>
    </row>
    <row r="84" spans="1:12" x14ac:dyDescent="0.25">
      <c r="A84">
        <v>1741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1741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1741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1741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1741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1741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1741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1741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1741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1741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1741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1741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1741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1741</v>
      </c>
      <c r="B97" t="s">
        <v>27</v>
      </c>
      <c r="C97" t="s">
        <v>73</v>
      </c>
      <c r="D97" t="s">
        <v>35</v>
      </c>
      <c r="H97">
        <v>250</v>
      </c>
      <c r="I97" t="s">
        <v>151</v>
      </c>
      <c r="J97">
        <f t="shared" si="2"/>
        <v>250</v>
      </c>
      <c r="L97">
        <f t="shared" si="3"/>
        <v>0.11160714285714286</v>
      </c>
    </row>
    <row r="98" spans="1:12" x14ac:dyDescent="0.25">
      <c r="A98">
        <v>1741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1741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1741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1741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1741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1741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1741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1741</v>
      </c>
      <c r="B105" t="s">
        <v>18</v>
      </c>
      <c r="C105" t="s">
        <v>73</v>
      </c>
      <c r="D105" t="s">
        <v>35</v>
      </c>
      <c r="H105">
        <v>535</v>
      </c>
      <c r="I105" t="s">
        <v>150</v>
      </c>
      <c r="J105">
        <f t="shared" si="2"/>
        <v>535</v>
      </c>
      <c r="L105">
        <f t="shared" si="3"/>
        <v>0.23883928571428573</v>
      </c>
    </row>
    <row r="106" spans="1:12" x14ac:dyDescent="0.25">
      <c r="A106">
        <v>1741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1741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1741</v>
      </c>
      <c r="B108" t="s">
        <v>19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1741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1741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1741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1741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1741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1741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1741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1741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1741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1741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1741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1741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1741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1741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1741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1741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1741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1741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6"/>
  <sheetViews>
    <sheetView topLeftCell="A90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1741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1741</v>
      </c>
      <c r="B3" t="s">
        <v>57</v>
      </c>
      <c r="C3" t="s">
        <v>74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1741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1741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1741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1741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1741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1741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1741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1741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1741</v>
      </c>
      <c r="B12" t="s">
        <v>6</v>
      </c>
      <c r="C12" t="s">
        <v>74</v>
      </c>
      <c r="D12" t="s">
        <v>33</v>
      </c>
      <c r="F12">
        <v>108339</v>
      </c>
      <c r="H12">
        <v>12</v>
      </c>
      <c r="J12">
        <f t="shared" si="0"/>
        <v>12133980</v>
      </c>
      <c r="L12">
        <f t="shared" si="1"/>
        <v>5416.9553571428569</v>
      </c>
    </row>
    <row r="13" spans="1:15" x14ac:dyDescent="0.25">
      <c r="A13">
        <v>1741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1741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1741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1741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1741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1741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1741</v>
      </c>
      <c r="B19" t="s">
        <v>77</v>
      </c>
      <c r="C19" t="s">
        <v>74</v>
      </c>
      <c r="D19" t="s">
        <v>33</v>
      </c>
      <c r="G19">
        <v>1</v>
      </c>
      <c r="J19">
        <f t="shared" si="0"/>
        <v>28</v>
      </c>
      <c r="L19">
        <f t="shared" si="1"/>
        <v>1.2500000000000001E-2</v>
      </c>
    </row>
    <row r="20" spans="1:12" x14ac:dyDescent="0.25">
      <c r="A20">
        <v>1741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1741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1741</v>
      </c>
      <c r="B22" t="s">
        <v>9</v>
      </c>
      <c r="C22" t="s">
        <v>74</v>
      </c>
      <c r="D22" t="s">
        <v>33</v>
      </c>
      <c r="H22">
        <f>659*200+100</f>
        <v>131900</v>
      </c>
      <c r="I22" t="s">
        <v>135</v>
      </c>
      <c r="J22">
        <f t="shared" si="0"/>
        <v>131900</v>
      </c>
      <c r="L22">
        <f t="shared" si="1"/>
        <v>58.883928571428569</v>
      </c>
    </row>
    <row r="23" spans="1:12" x14ac:dyDescent="0.25">
      <c r="A23">
        <v>1741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1741</v>
      </c>
      <c r="B24" t="s">
        <v>11</v>
      </c>
      <c r="C24" t="s">
        <v>74</v>
      </c>
      <c r="D24" t="s">
        <v>33</v>
      </c>
      <c r="F24">
        <v>133</v>
      </c>
      <c r="G24">
        <v>1</v>
      </c>
      <c r="H24">
        <v>4</v>
      </c>
      <c r="J24">
        <f t="shared" si="0"/>
        <v>14928</v>
      </c>
      <c r="L24">
        <f t="shared" si="1"/>
        <v>6.6642857142857146</v>
      </c>
    </row>
    <row r="25" spans="1:12" x14ac:dyDescent="0.25">
      <c r="A25">
        <v>1741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1741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1741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1741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1741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1741</v>
      </c>
      <c r="B30" t="s">
        <v>12</v>
      </c>
      <c r="C30" t="s">
        <v>74</v>
      </c>
      <c r="D30" t="s">
        <v>33</v>
      </c>
      <c r="H30">
        <v>150</v>
      </c>
      <c r="J30">
        <f t="shared" si="0"/>
        <v>150</v>
      </c>
      <c r="L30">
        <f t="shared" si="1"/>
        <v>6.6964285714285712E-2</v>
      </c>
    </row>
    <row r="31" spans="1:12" x14ac:dyDescent="0.25">
      <c r="A31">
        <v>1741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1741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1741</v>
      </c>
      <c r="B33" t="s">
        <v>13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1741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1741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1741</v>
      </c>
      <c r="B36" t="s">
        <v>27</v>
      </c>
      <c r="C36" t="s">
        <v>74</v>
      </c>
      <c r="D36" t="s">
        <v>33</v>
      </c>
      <c r="H36">
        <v>93894</v>
      </c>
      <c r="I36" t="s">
        <v>134</v>
      </c>
      <c r="J36">
        <f t="shared" si="0"/>
        <v>93894</v>
      </c>
      <c r="L36">
        <f t="shared" si="1"/>
        <v>41.916964285714286</v>
      </c>
    </row>
    <row r="37" spans="1:12" x14ac:dyDescent="0.25">
      <c r="A37">
        <v>1741</v>
      </c>
      <c r="B37" t="s">
        <v>15</v>
      </c>
      <c r="C37" t="s">
        <v>74</v>
      </c>
      <c r="D37" t="s">
        <v>33</v>
      </c>
      <c r="F37">
        <v>8</v>
      </c>
      <c r="J37">
        <f t="shared" si="0"/>
        <v>896</v>
      </c>
      <c r="L37">
        <f t="shared" si="1"/>
        <v>0.4</v>
      </c>
    </row>
    <row r="38" spans="1:12" x14ac:dyDescent="0.25">
      <c r="A38">
        <v>1741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1741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1741</v>
      </c>
      <c r="B40" t="s">
        <v>47</v>
      </c>
      <c r="C40" t="s">
        <v>74</v>
      </c>
      <c r="D40" t="s">
        <v>33</v>
      </c>
      <c r="H40">
        <v>20</v>
      </c>
      <c r="I40" t="s">
        <v>132</v>
      </c>
      <c r="J40">
        <f t="shared" si="0"/>
        <v>20</v>
      </c>
      <c r="L40">
        <f t="shared" si="1"/>
        <v>8.9285714285714281E-3</v>
      </c>
    </row>
    <row r="41" spans="1:12" x14ac:dyDescent="0.25">
      <c r="A41">
        <v>1741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1741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1741</v>
      </c>
      <c r="B43" t="s">
        <v>18</v>
      </c>
      <c r="C43" t="s">
        <v>74</v>
      </c>
      <c r="D43" t="s">
        <v>33</v>
      </c>
      <c r="H43">
        <v>166563</v>
      </c>
      <c r="I43" t="s">
        <v>133</v>
      </c>
      <c r="J43">
        <f t="shared" si="0"/>
        <v>166563</v>
      </c>
      <c r="L43">
        <f t="shared" si="1"/>
        <v>74.358482142857142</v>
      </c>
    </row>
    <row r="44" spans="1:12" x14ac:dyDescent="0.25">
      <c r="A44">
        <v>1741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1741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1741</v>
      </c>
      <c r="B46" t="s">
        <v>19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1741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1741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1741</v>
      </c>
      <c r="B49" t="s">
        <v>54</v>
      </c>
      <c r="C49" t="s">
        <v>74</v>
      </c>
      <c r="D49" t="s">
        <v>33</v>
      </c>
      <c r="H49">
        <v>193</v>
      </c>
      <c r="J49">
        <f t="shared" si="0"/>
        <v>193</v>
      </c>
      <c r="L49">
        <f t="shared" si="1"/>
        <v>8.6160714285714285E-2</v>
      </c>
    </row>
    <row r="50" spans="1:12" x14ac:dyDescent="0.25">
      <c r="A50">
        <v>1741</v>
      </c>
      <c r="B50" t="s">
        <v>95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1741</v>
      </c>
      <c r="B51" t="s">
        <v>20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1741</v>
      </c>
      <c r="B52" t="s">
        <v>21</v>
      </c>
      <c r="C52" t="s">
        <v>74</v>
      </c>
      <c r="D52" t="s">
        <v>33</v>
      </c>
      <c r="H52">
        <v>28</v>
      </c>
      <c r="J52">
        <f t="shared" si="0"/>
        <v>28</v>
      </c>
      <c r="L52">
        <f t="shared" si="1"/>
        <v>1.2500000000000001E-2</v>
      </c>
    </row>
    <row r="53" spans="1:12" x14ac:dyDescent="0.25">
      <c r="A53">
        <v>1741</v>
      </c>
      <c r="B53" t="s">
        <v>22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1741</v>
      </c>
      <c r="B54" t="s">
        <v>61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1741</v>
      </c>
      <c r="B55" t="s">
        <v>99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1741</v>
      </c>
      <c r="B56" t="s">
        <v>87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1741</v>
      </c>
      <c r="B57" t="s">
        <v>62</v>
      </c>
      <c r="C57" t="s">
        <v>74</v>
      </c>
      <c r="D57" t="s">
        <v>33</v>
      </c>
      <c r="E57">
        <v>29</v>
      </c>
      <c r="F57">
        <v>14</v>
      </c>
      <c r="J57">
        <f t="shared" si="0"/>
        <v>66528</v>
      </c>
      <c r="L57">
        <f t="shared" si="1"/>
        <v>29.7</v>
      </c>
    </row>
    <row r="58" spans="1:12" x14ac:dyDescent="0.25">
      <c r="A58">
        <v>1741</v>
      </c>
      <c r="B58" t="s">
        <v>88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1741</v>
      </c>
      <c r="B59" t="s">
        <v>63</v>
      </c>
      <c r="C59" t="s">
        <v>74</v>
      </c>
      <c r="D59" t="s">
        <v>33</v>
      </c>
      <c r="E59">
        <v>10</v>
      </c>
      <c r="F59">
        <v>5</v>
      </c>
      <c r="J59">
        <f t="shared" si="0"/>
        <v>22960</v>
      </c>
      <c r="L59">
        <f t="shared" si="1"/>
        <v>10.25</v>
      </c>
    </row>
    <row r="60" spans="1:12" x14ac:dyDescent="0.25">
      <c r="A60">
        <v>1741</v>
      </c>
      <c r="B60" t="s">
        <v>89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1741</v>
      </c>
      <c r="B61" t="s">
        <v>70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1741</v>
      </c>
      <c r="B62" t="s">
        <v>64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1741</v>
      </c>
      <c r="B63" t="s">
        <v>65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1741</v>
      </c>
      <c r="B64" t="s">
        <v>55</v>
      </c>
      <c r="C64" t="s">
        <v>74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1741</v>
      </c>
      <c r="B65" t="s">
        <v>57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1741</v>
      </c>
      <c r="B66" t="s">
        <v>36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1741</v>
      </c>
      <c r="B67" t="s">
        <v>4</v>
      </c>
      <c r="C67" t="s">
        <v>74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1741</v>
      </c>
      <c r="B68" t="s">
        <v>58</v>
      </c>
      <c r="C68" t="s">
        <v>74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1741</v>
      </c>
      <c r="B69" t="s">
        <v>69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1741</v>
      </c>
      <c r="B70" t="s">
        <v>43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1741</v>
      </c>
      <c r="B71" t="s">
        <v>76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1741</v>
      </c>
      <c r="B72" t="s">
        <v>5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1741</v>
      </c>
      <c r="B73" t="s">
        <v>59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1741</v>
      </c>
      <c r="B74" t="s">
        <v>6</v>
      </c>
      <c r="C74" t="s">
        <v>74</v>
      </c>
      <c r="D74" t="s">
        <v>35</v>
      </c>
      <c r="F74">
        <v>31077</v>
      </c>
      <c r="G74">
        <v>2</v>
      </c>
      <c r="H74">
        <v>8</v>
      </c>
      <c r="J74">
        <f t="shared" si="2"/>
        <v>3480688</v>
      </c>
      <c r="L74">
        <f t="shared" si="3"/>
        <v>1553.8785714285714</v>
      </c>
    </row>
    <row r="75" spans="1:12" x14ac:dyDescent="0.25">
      <c r="A75">
        <v>1741</v>
      </c>
      <c r="B75" t="s">
        <v>60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1741</v>
      </c>
      <c r="B76" t="s">
        <v>7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1741</v>
      </c>
      <c r="B77" t="s">
        <v>37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1741</v>
      </c>
      <c r="B78" t="s">
        <v>8</v>
      </c>
      <c r="C78" t="s">
        <v>74</v>
      </c>
      <c r="D78" t="s">
        <v>35</v>
      </c>
      <c r="F78">
        <v>3</v>
      </c>
      <c r="H78">
        <v>5</v>
      </c>
      <c r="J78">
        <f t="shared" si="2"/>
        <v>341</v>
      </c>
      <c r="L78">
        <f t="shared" si="3"/>
        <v>0.15223214285714284</v>
      </c>
    </row>
    <row r="79" spans="1:12" x14ac:dyDescent="0.25">
      <c r="A79">
        <v>1741</v>
      </c>
      <c r="B79" t="s">
        <v>40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1741</v>
      </c>
      <c r="B80" t="s">
        <v>77</v>
      </c>
      <c r="C80" t="s">
        <v>74</v>
      </c>
      <c r="D80" t="s">
        <v>35</v>
      </c>
      <c r="F80">
        <v>2</v>
      </c>
      <c r="H80">
        <v>26</v>
      </c>
      <c r="J80">
        <f t="shared" si="2"/>
        <v>250</v>
      </c>
      <c r="L80">
        <f t="shared" si="3"/>
        <v>0.11160714285714286</v>
      </c>
    </row>
    <row r="81" spans="1:12" x14ac:dyDescent="0.25">
      <c r="A81">
        <v>1741</v>
      </c>
      <c r="B81" t="s">
        <v>78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1741</v>
      </c>
      <c r="B82" t="s">
        <v>46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1741</v>
      </c>
      <c r="B83" t="s">
        <v>9</v>
      </c>
      <c r="C83" t="s">
        <v>74</v>
      </c>
      <c r="D83" t="s">
        <v>35</v>
      </c>
      <c r="H83">
        <f>248*200+118</f>
        <v>49718</v>
      </c>
      <c r="I83" t="s">
        <v>154</v>
      </c>
      <c r="J83">
        <f t="shared" si="2"/>
        <v>49718</v>
      </c>
      <c r="L83">
        <f t="shared" si="3"/>
        <v>22.195535714285715</v>
      </c>
    </row>
    <row r="84" spans="1:12" x14ac:dyDescent="0.25">
      <c r="A84">
        <v>1741</v>
      </c>
      <c r="B84" t="s">
        <v>10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1741</v>
      </c>
      <c r="B85" t="s">
        <v>11</v>
      </c>
      <c r="C85" t="s">
        <v>74</v>
      </c>
      <c r="D85" t="s">
        <v>35</v>
      </c>
      <c r="F85">
        <v>42</v>
      </c>
      <c r="G85">
        <v>2</v>
      </c>
      <c r="H85">
        <v>13</v>
      </c>
      <c r="J85">
        <f t="shared" si="2"/>
        <v>4773</v>
      </c>
      <c r="L85">
        <f t="shared" si="3"/>
        <v>2.1308035714285714</v>
      </c>
    </row>
    <row r="86" spans="1:12" x14ac:dyDescent="0.25">
      <c r="A86">
        <v>1741</v>
      </c>
      <c r="B86" t="s">
        <v>39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1741</v>
      </c>
      <c r="B87" t="s">
        <v>79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1741</v>
      </c>
      <c r="B88" t="s">
        <v>103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1741</v>
      </c>
      <c r="B89" t="s">
        <v>44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1741</v>
      </c>
      <c r="B90" t="s">
        <v>97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1741</v>
      </c>
      <c r="B91" t="s">
        <v>12</v>
      </c>
      <c r="C91" t="s">
        <v>74</v>
      </c>
      <c r="D91" t="s">
        <v>35</v>
      </c>
      <c r="H91">
        <v>380</v>
      </c>
      <c r="J91">
        <f t="shared" si="2"/>
        <v>380</v>
      </c>
      <c r="L91">
        <f t="shared" si="3"/>
        <v>0.16964285714285715</v>
      </c>
    </row>
    <row r="92" spans="1:12" x14ac:dyDescent="0.25">
      <c r="A92">
        <v>1741</v>
      </c>
      <c r="B92" t="s">
        <v>82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1741</v>
      </c>
      <c r="B93" t="s">
        <v>34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1741</v>
      </c>
      <c r="B94" t="s">
        <v>13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1741</v>
      </c>
      <c r="B95" t="s">
        <v>14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1741</v>
      </c>
      <c r="B96" t="s">
        <v>23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1741</v>
      </c>
      <c r="B97" t="s">
        <v>27</v>
      </c>
      <c r="C97" t="s">
        <v>74</v>
      </c>
      <c r="D97" t="s">
        <v>35</v>
      </c>
      <c r="H97">
        <v>630</v>
      </c>
      <c r="I97" t="s">
        <v>153</v>
      </c>
      <c r="J97">
        <f t="shared" si="2"/>
        <v>630</v>
      </c>
      <c r="L97">
        <f t="shared" si="3"/>
        <v>0.28125</v>
      </c>
    </row>
    <row r="98" spans="1:12" x14ac:dyDescent="0.25">
      <c r="A98">
        <v>1741</v>
      </c>
      <c r="B98" t="s">
        <v>15</v>
      </c>
      <c r="C98" t="s">
        <v>74</v>
      </c>
      <c r="D98" t="s">
        <v>35</v>
      </c>
      <c r="E98">
        <v>7</v>
      </c>
      <c r="F98">
        <v>17</v>
      </c>
      <c r="G98">
        <v>1</v>
      </c>
      <c r="H98">
        <v>24</v>
      </c>
      <c r="J98">
        <f t="shared" si="2"/>
        <v>17636</v>
      </c>
      <c r="L98">
        <f t="shared" si="3"/>
        <v>7.8732142857142859</v>
      </c>
    </row>
    <row r="99" spans="1:12" x14ac:dyDescent="0.25">
      <c r="A99">
        <v>1741</v>
      </c>
      <c r="B99" t="s">
        <v>93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1741</v>
      </c>
      <c r="B100" t="s">
        <v>42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1741</v>
      </c>
      <c r="B101" t="s">
        <v>83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1741</v>
      </c>
      <c r="B102" t="s">
        <v>47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1741</v>
      </c>
      <c r="B103" t="s">
        <v>16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1741</v>
      </c>
      <c r="B104" t="s">
        <v>17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1741</v>
      </c>
      <c r="B105" t="s">
        <v>18</v>
      </c>
      <c r="C105" t="s">
        <v>74</v>
      </c>
      <c r="D105" t="s">
        <v>35</v>
      </c>
      <c r="H105">
        <v>113814</v>
      </c>
      <c r="I105" t="s">
        <v>152</v>
      </c>
      <c r="J105">
        <f t="shared" si="2"/>
        <v>113814</v>
      </c>
      <c r="L105">
        <f t="shared" si="3"/>
        <v>50.809821428571432</v>
      </c>
    </row>
    <row r="106" spans="1:12" x14ac:dyDescent="0.25">
      <c r="A106">
        <v>1741</v>
      </c>
      <c r="B106" t="s">
        <v>26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1741</v>
      </c>
      <c r="B107" t="s">
        <v>84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1741</v>
      </c>
      <c r="B108" t="s">
        <v>19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1741</v>
      </c>
      <c r="B109" t="s">
        <v>45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1741</v>
      </c>
      <c r="B110" t="s">
        <v>85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1741</v>
      </c>
      <c r="B111" t="s">
        <v>54</v>
      </c>
      <c r="C111" t="s">
        <v>74</v>
      </c>
      <c r="D111" t="s">
        <v>35</v>
      </c>
      <c r="H111">
        <v>20</v>
      </c>
      <c r="J111">
        <f t="shared" si="2"/>
        <v>20</v>
      </c>
      <c r="L111">
        <f t="shared" si="3"/>
        <v>8.9285714285714281E-3</v>
      </c>
    </row>
    <row r="112" spans="1:12" x14ac:dyDescent="0.25">
      <c r="A112">
        <v>1741</v>
      </c>
      <c r="B112" t="s">
        <v>95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1741</v>
      </c>
      <c r="B113" t="s">
        <v>20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1741</v>
      </c>
      <c r="B114" t="s">
        <v>21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1741</v>
      </c>
      <c r="B115" t="s">
        <v>22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1741</v>
      </c>
      <c r="B116" t="s">
        <v>61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1741</v>
      </c>
      <c r="B117" t="s">
        <v>91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1741</v>
      </c>
      <c r="B118" t="s">
        <v>98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1741</v>
      </c>
      <c r="B119" t="s">
        <v>87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1741</v>
      </c>
      <c r="B120" t="s">
        <v>62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1741</v>
      </c>
      <c r="B121" t="s">
        <v>88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1741</v>
      </c>
      <c r="B122" t="s">
        <v>63</v>
      </c>
      <c r="C122" t="s">
        <v>74</v>
      </c>
      <c r="D122" t="s">
        <v>35</v>
      </c>
      <c r="E122">
        <v>15</v>
      </c>
      <c r="J122">
        <f t="shared" si="2"/>
        <v>33600</v>
      </c>
      <c r="L122">
        <f t="shared" si="3"/>
        <v>15</v>
      </c>
    </row>
    <row r="123" spans="1:12" x14ac:dyDescent="0.25">
      <c r="A123">
        <v>1741</v>
      </c>
      <c r="B123" t="s">
        <v>89</v>
      </c>
      <c r="C123" t="s">
        <v>74</v>
      </c>
      <c r="D123" t="s">
        <v>35</v>
      </c>
      <c r="F123">
        <v>5</v>
      </c>
      <c r="J123">
        <f t="shared" si="2"/>
        <v>560</v>
      </c>
      <c r="L123">
        <f t="shared" si="3"/>
        <v>0.25</v>
      </c>
    </row>
    <row r="124" spans="1:12" x14ac:dyDescent="0.25">
      <c r="A124">
        <v>1741</v>
      </c>
      <c r="B124" t="s">
        <v>70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1741</v>
      </c>
      <c r="B125" t="s">
        <v>64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1741</v>
      </c>
      <c r="B126" t="s">
        <v>65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21" workbookViewId="0">
      <selection activeCell="H45" sqref="H45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1741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1741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1741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1741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1741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1741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1741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1741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1741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1741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1741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1741</v>
      </c>
      <c r="B13" t="s">
        <v>6</v>
      </c>
      <c r="C13" t="s">
        <v>100</v>
      </c>
      <c r="D13" t="s">
        <v>33</v>
      </c>
      <c r="F13">
        <v>385</v>
      </c>
      <c r="G13">
        <v>3</v>
      </c>
      <c r="H13">
        <v>24</v>
      </c>
      <c r="J13">
        <f t="shared" si="0"/>
        <v>43228</v>
      </c>
      <c r="L13">
        <f t="shared" si="1"/>
        <v>19.298214285714284</v>
      </c>
    </row>
    <row r="14" spans="1:15" x14ac:dyDescent="0.25">
      <c r="A14">
        <v>1741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1741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1741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1741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1741</v>
      </c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1741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1741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1741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1741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1741</v>
      </c>
      <c r="B23" t="s">
        <v>9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1741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1741</v>
      </c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1741</v>
      </c>
      <c r="B26" t="s">
        <v>39</v>
      </c>
      <c r="C26" t="s">
        <v>100</v>
      </c>
      <c r="D26" t="s">
        <v>33</v>
      </c>
      <c r="H26">
        <v>13</v>
      </c>
      <c r="J26">
        <f t="shared" si="0"/>
        <v>13</v>
      </c>
      <c r="L26">
        <f t="shared" si="1"/>
        <v>5.8035714285714288E-3</v>
      </c>
    </row>
    <row r="27" spans="1:12" x14ac:dyDescent="0.25">
      <c r="A27">
        <v>1741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1741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1741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1741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1741</v>
      </c>
      <c r="B31" t="s">
        <v>12</v>
      </c>
      <c r="C31" t="s">
        <v>100</v>
      </c>
      <c r="D31" t="s">
        <v>33</v>
      </c>
      <c r="H31">
        <v>200</v>
      </c>
      <c r="J31">
        <f t="shared" si="0"/>
        <v>200</v>
      </c>
      <c r="L31">
        <f t="shared" si="1"/>
        <v>8.9285714285714288E-2</v>
      </c>
    </row>
    <row r="32" spans="1:12" x14ac:dyDescent="0.25">
      <c r="A32">
        <v>1741</v>
      </c>
      <c r="B32" t="s">
        <v>136</v>
      </c>
      <c r="C32" t="s">
        <v>100</v>
      </c>
      <c r="D32" t="s">
        <v>33</v>
      </c>
      <c r="H32">
        <v>2118</v>
      </c>
      <c r="J32">
        <f t="shared" si="0"/>
        <v>2118</v>
      </c>
      <c r="L32">
        <f t="shared" si="1"/>
        <v>0.94553571428571426</v>
      </c>
    </row>
    <row r="33" spans="1:12" x14ac:dyDescent="0.25">
      <c r="A33">
        <v>1741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1741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1741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1741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1741</v>
      </c>
      <c r="B37" t="s">
        <v>27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1741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1741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1741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1741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1741</v>
      </c>
      <c r="B42" t="s">
        <v>16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1741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1741</v>
      </c>
      <c r="B44" t="s">
        <v>18</v>
      </c>
      <c r="C44" t="s">
        <v>100</v>
      </c>
      <c r="D44" t="s">
        <v>33</v>
      </c>
      <c r="H44">
        <v>6001.5</v>
      </c>
      <c r="I44" t="s">
        <v>137</v>
      </c>
      <c r="J44">
        <f t="shared" si="0"/>
        <v>6001.5</v>
      </c>
      <c r="L44">
        <f t="shared" si="1"/>
        <v>2.6792410714285713</v>
      </c>
    </row>
    <row r="45" spans="1:12" x14ac:dyDescent="0.25">
      <c r="A45">
        <v>1741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1741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1741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1741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1741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1741</v>
      </c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1741</v>
      </c>
      <c r="B51" t="s">
        <v>95</v>
      </c>
      <c r="C51" t="s">
        <v>100</v>
      </c>
      <c r="D51" t="s">
        <v>33</v>
      </c>
      <c r="H51">
        <v>3552</v>
      </c>
      <c r="J51">
        <f t="shared" si="0"/>
        <v>3552</v>
      </c>
      <c r="L51">
        <f t="shared" si="1"/>
        <v>1.5857142857142856</v>
      </c>
    </row>
    <row r="52" spans="1:12" x14ac:dyDescent="0.25">
      <c r="A52">
        <v>1741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1741</v>
      </c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1741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1741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1741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1741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1741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1741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1741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1741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1741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1741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1741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1741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1741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1741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1741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1741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1741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1741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1741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1741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1741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1741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1741</v>
      </c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1741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1741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1741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1741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1741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1741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1741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1741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1741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1741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1741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1741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1741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1741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1741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1741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1741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1741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1741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1741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1741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1741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1741</v>
      </c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1741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1741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1741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1741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1741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1741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1741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1741</v>
      </c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1741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1741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1741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1741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1741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1741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1741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1741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1741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1741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1741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1741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1741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1741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1741</v>
      </c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1741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1741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1741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1741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1741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1741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2025-04-30T05:38:59Z</dcterms:modified>
</cp:coreProperties>
</file>