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80" documentId="8_{53D78D5E-28E6-45DF-A52B-0BB7689B2250}" xr6:coauthVersionLast="47" xr6:coauthVersionMax="47" xr10:uidLastSave="{D054FEB1-82E6-46D4-9ECD-B7DA16EDE8A9}"/>
  <bookViews>
    <workbookView xWindow="57480" yWindow="10485" windowWidth="29040" windowHeight="1572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Barbados!$A$1:$N$56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0" l="1"/>
  <c r="J83" i="10" s="1"/>
  <c r="L83" i="10" s="1"/>
  <c r="H87" i="8"/>
  <c r="H83" i="7"/>
  <c r="J83" i="7" s="1"/>
  <c r="L83" i="7" s="1"/>
  <c r="H83" i="6"/>
  <c r="H88" i="5"/>
  <c r="H68" i="3"/>
  <c r="L97" i="3"/>
  <c r="J97" i="3"/>
  <c r="H88" i="2"/>
  <c r="H24" i="8"/>
  <c r="J44" i="8"/>
  <c r="L44" i="8" s="1"/>
  <c r="L56" i="8"/>
  <c r="J56" i="8"/>
  <c r="J9" i="8"/>
  <c r="L9" i="8" s="1"/>
  <c r="J7" i="8"/>
  <c r="L7" i="8" s="1"/>
  <c r="H22" i="7"/>
  <c r="H22" i="6"/>
  <c r="J22" i="6" s="1"/>
  <c r="L22" i="6" s="1"/>
  <c r="H24" i="5"/>
  <c r="J24" i="5" s="1"/>
  <c r="L24" i="5" s="1"/>
  <c r="L44" i="5"/>
  <c r="J44" i="5"/>
  <c r="J8" i="5"/>
  <c r="L8" i="5" s="1"/>
  <c r="J2" i="4"/>
  <c r="L2" i="4" s="1"/>
  <c r="J6" i="4"/>
  <c r="L6" i="4" s="1"/>
  <c r="H19" i="3"/>
  <c r="J49" i="3"/>
  <c r="L49" i="3" s="1"/>
  <c r="J35" i="3"/>
  <c r="L35" i="3" s="1"/>
  <c r="J17" i="3"/>
  <c r="L17" i="3" s="1"/>
  <c r="H23" i="2"/>
  <c r="L44" i="2"/>
  <c r="J44" i="2"/>
  <c r="L45" i="2"/>
  <c r="J45" i="2"/>
  <c r="J54" i="2"/>
  <c r="L54" i="2" s="1"/>
  <c r="H21" i="9"/>
  <c r="J129" i="9"/>
  <c r="L129" i="9" s="1"/>
  <c r="J128" i="9"/>
  <c r="L128" i="9" s="1"/>
  <c r="J127" i="9"/>
  <c r="L127" i="9" s="1"/>
  <c r="J126" i="9"/>
  <c r="L126" i="9" s="1"/>
  <c r="J125" i="9"/>
  <c r="L125" i="9" s="1"/>
  <c r="J124" i="9"/>
  <c r="L124" i="9" s="1"/>
  <c r="J123" i="9"/>
  <c r="L123" i="9" s="1"/>
  <c r="J122" i="9"/>
  <c r="L122" i="9" s="1"/>
  <c r="L121" i="9"/>
  <c r="J121" i="9"/>
  <c r="J120" i="9"/>
  <c r="L120" i="9" s="1"/>
  <c r="J119" i="9"/>
  <c r="L119" i="9" s="1"/>
  <c r="J118" i="9"/>
  <c r="L118" i="9" s="1"/>
  <c r="J117" i="9"/>
  <c r="L117" i="9" s="1"/>
  <c r="J116" i="9"/>
  <c r="L116" i="9" s="1"/>
  <c r="J115" i="9"/>
  <c r="L115" i="9" s="1"/>
  <c r="J114" i="9"/>
  <c r="L114" i="9" s="1"/>
  <c r="J113" i="9"/>
  <c r="L113" i="9" s="1"/>
  <c r="J112" i="9"/>
  <c r="L112" i="9" s="1"/>
  <c r="L111" i="9"/>
  <c r="J111" i="9"/>
  <c r="J110" i="9"/>
  <c r="L110" i="9" s="1"/>
  <c r="J109" i="9"/>
  <c r="L109" i="9" s="1"/>
  <c r="J108" i="9"/>
  <c r="L108" i="9" s="1"/>
  <c r="J107" i="9"/>
  <c r="L107" i="9" s="1"/>
  <c r="J106" i="9"/>
  <c r="L106" i="9" s="1"/>
  <c r="J105" i="9"/>
  <c r="L105" i="9" s="1"/>
  <c r="J104" i="9"/>
  <c r="L104" i="9" s="1"/>
  <c r="J103" i="9"/>
  <c r="L103" i="9" s="1"/>
  <c r="J102" i="9"/>
  <c r="L102" i="9" s="1"/>
  <c r="L101" i="9"/>
  <c r="J101" i="9"/>
  <c r="J100" i="9"/>
  <c r="L100" i="9" s="1"/>
  <c r="J99" i="9"/>
  <c r="L99" i="9" s="1"/>
  <c r="J98" i="9"/>
  <c r="L98" i="9" s="1"/>
  <c r="J97" i="9"/>
  <c r="L97" i="9" s="1"/>
  <c r="J96" i="9"/>
  <c r="L96" i="9" s="1"/>
  <c r="J95" i="9"/>
  <c r="L95" i="9" s="1"/>
  <c r="J94" i="9"/>
  <c r="L94" i="9" s="1"/>
  <c r="J93" i="9"/>
  <c r="L93" i="9" s="1"/>
  <c r="J92" i="9"/>
  <c r="L92" i="9" s="1"/>
  <c r="L91" i="9"/>
  <c r="J91" i="9"/>
  <c r="J90" i="9"/>
  <c r="L90" i="9" s="1"/>
  <c r="J89" i="9"/>
  <c r="L89" i="9" s="1"/>
  <c r="J88" i="9"/>
  <c r="L88" i="9" s="1"/>
  <c r="J87" i="9"/>
  <c r="L87" i="9" s="1"/>
  <c r="J86" i="9"/>
  <c r="L86" i="9" s="1"/>
  <c r="J85" i="9"/>
  <c r="L85" i="9" s="1"/>
  <c r="J84" i="9"/>
  <c r="L84" i="9" s="1"/>
  <c r="J83" i="9"/>
  <c r="L83" i="9" s="1"/>
  <c r="J82" i="9"/>
  <c r="L82" i="9" s="1"/>
  <c r="L81" i="9"/>
  <c r="J81" i="9"/>
  <c r="J80" i="9"/>
  <c r="L80" i="9" s="1"/>
  <c r="J79" i="9"/>
  <c r="L79" i="9" s="1"/>
  <c r="J78" i="9"/>
  <c r="L78" i="9" s="1"/>
  <c r="J77" i="9"/>
  <c r="L77" i="9" s="1"/>
  <c r="J76" i="9"/>
  <c r="L76" i="9" s="1"/>
  <c r="J75" i="9"/>
  <c r="L75" i="9" s="1"/>
  <c r="J74" i="9"/>
  <c r="L74" i="9" s="1"/>
  <c r="J73" i="9"/>
  <c r="L73" i="9" s="1"/>
  <c r="J72" i="9"/>
  <c r="L72" i="9" s="1"/>
  <c r="L71" i="9"/>
  <c r="J71" i="9"/>
  <c r="J70" i="9"/>
  <c r="L70" i="9" s="1"/>
  <c r="J69" i="9"/>
  <c r="L69" i="9" s="1"/>
  <c r="J68" i="9"/>
  <c r="L68" i="9" s="1"/>
  <c r="J67" i="9"/>
  <c r="L67" i="9" s="1"/>
  <c r="J66" i="9"/>
  <c r="L66" i="9" s="1"/>
  <c r="J65" i="9"/>
  <c r="L65" i="9" s="1"/>
  <c r="C5" i="1" s="1"/>
  <c r="J64" i="9"/>
  <c r="L64" i="9" s="1"/>
  <c r="J63" i="9"/>
  <c r="L63" i="9" s="1"/>
  <c r="J62" i="9"/>
  <c r="L62" i="9" s="1"/>
  <c r="L61" i="9"/>
  <c r="J61" i="9"/>
  <c r="J60" i="9"/>
  <c r="L60" i="9" s="1"/>
  <c r="J59" i="9"/>
  <c r="L59" i="9" s="1"/>
  <c r="J58" i="9"/>
  <c r="L58" i="9" s="1"/>
  <c r="J57" i="9"/>
  <c r="L57" i="9" s="1"/>
  <c r="J56" i="9"/>
  <c r="L56" i="9" s="1"/>
  <c r="J55" i="9"/>
  <c r="L55" i="9" s="1"/>
  <c r="J54" i="9"/>
  <c r="L54" i="9" s="1"/>
  <c r="J53" i="9"/>
  <c r="L53" i="9" s="1"/>
  <c r="J52" i="9"/>
  <c r="L52" i="9" s="1"/>
  <c r="L51" i="9"/>
  <c r="J51" i="9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J44" i="9"/>
  <c r="L44" i="9" s="1"/>
  <c r="J43" i="9"/>
  <c r="L43" i="9" s="1"/>
  <c r="J42" i="9"/>
  <c r="L42" i="9" s="1"/>
  <c r="L41" i="9"/>
  <c r="J41" i="9"/>
  <c r="J40" i="9"/>
  <c r="L40" i="9" s="1"/>
  <c r="J39" i="9"/>
  <c r="L39" i="9" s="1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L31" i="9"/>
  <c r="J31" i="9"/>
  <c r="J30" i="9"/>
  <c r="L30" i="9" s="1"/>
  <c r="J29" i="9"/>
  <c r="L29" i="9" s="1"/>
  <c r="J28" i="9"/>
  <c r="L28" i="9" s="1"/>
  <c r="J27" i="9"/>
  <c r="L27" i="9" s="1"/>
  <c r="J26" i="9"/>
  <c r="L26" i="9" s="1"/>
  <c r="J25" i="9"/>
  <c r="L25" i="9" s="1"/>
  <c r="J24" i="9"/>
  <c r="L24" i="9" s="1"/>
  <c r="J23" i="9"/>
  <c r="L23" i="9" s="1"/>
  <c r="J22" i="9"/>
  <c r="L22" i="9" s="1"/>
  <c r="L21" i="9"/>
  <c r="J21" i="9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L11" i="9"/>
  <c r="J11" i="9"/>
  <c r="J10" i="9"/>
  <c r="L10" i="9" s="1"/>
  <c r="J9" i="9"/>
  <c r="L9" i="9" s="1"/>
  <c r="J8" i="9"/>
  <c r="L8" i="9" s="1"/>
  <c r="J7" i="9"/>
  <c r="L7" i="9" s="1"/>
  <c r="J6" i="9"/>
  <c r="L6" i="9" s="1"/>
  <c r="J5" i="9"/>
  <c r="L5" i="9" s="1"/>
  <c r="J4" i="9"/>
  <c r="L4" i="9" s="1"/>
  <c r="J3" i="9"/>
  <c r="L3" i="9" s="1"/>
  <c r="J2" i="9"/>
  <c r="L2" i="9" s="1"/>
  <c r="C23" i="1"/>
  <c r="C24" i="1"/>
  <c r="B23" i="1"/>
  <c r="B24" i="1"/>
  <c r="J120" i="5"/>
  <c r="L120" i="5" s="1"/>
  <c r="J74" i="5"/>
  <c r="L74" i="5" s="1"/>
  <c r="J85" i="3"/>
  <c r="L85" i="3" s="1"/>
  <c r="J120" i="2"/>
  <c r="L120" i="2" s="1"/>
  <c r="L54" i="11"/>
  <c r="J54" i="11"/>
  <c r="J10" i="11"/>
  <c r="L10" i="11" s="1"/>
  <c r="J56" i="5"/>
  <c r="L56" i="5" s="1"/>
  <c r="J9" i="5"/>
  <c r="L9" i="5" s="1"/>
  <c r="J16" i="4"/>
  <c r="L16" i="4" s="1"/>
  <c r="J18" i="4"/>
  <c r="L18" i="4" s="1"/>
  <c r="J14" i="4"/>
  <c r="L14" i="4" s="1"/>
  <c r="J11" i="4"/>
  <c r="L11" i="4" s="1"/>
  <c r="J8" i="4"/>
  <c r="L8" i="4" s="1"/>
  <c r="J23" i="3"/>
  <c r="L23" i="3" s="1"/>
  <c r="J29" i="2"/>
  <c r="L29" i="2" s="1"/>
  <c r="J8" i="2"/>
  <c r="L8" i="2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J120" i="10"/>
  <c r="L120" i="10" s="1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J108" i="10"/>
  <c r="L108" i="10" s="1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30" i="8"/>
  <c r="L130" i="8" s="1"/>
  <c r="J129" i="8"/>
  <c r="L129" i="8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8" i="8"/>
  <c r="L8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19" i="2"/>
  <c r="L119" i="2" s="1"/>
  <c r="J118" i="2"/>
  <c r="L118" i="2" s="1"/>
  <c r="C19" i="1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8" i="3"/>
  <c r="L18" i="3" s="1"/>
  <c r="J19" i="3"/>
  <c r="L19" i="3" s="1"/>
  <c r="J20" i="3"/>
  <c r="L20" i="3" s="1"/>
  <c r="J21" i="3"/>
  <c r="L21" i="3" s="1"/>
  <c r="J22" i="3"/>
  <c r="L22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6" i="3"/>
  <c r="L86" i="3" s="1"/>
  <c r="J87" i="3"/>
  <c r="L87" i="3" s="1"/>
  <c r="J88" i="3"/>
  <c r="L88" i="3" s="1"/>
  <c r="C25" i="1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4" i="4"/>
  <c r="L4" i="4" s="1"/>
  <c r="J5" i="4"/>
  <c r="L5" i="4" s="1"/>
  <c r="J7" i="4"/>
  <c r="L7" i="4" s="1"/>
  <c r="J9" i="4"/>
  <c r="L9" i="4" s="1"/>
  <c r="J10" i="4"/>
  <c r="L10" i="4" s="1"/>
  <c r="J12" i="4"/>
  <c r="L12" i="4" s="1"/>
  <c r="J13" i="4"/>
  <c r="L13" i="4" s="1"/>
  <c r="J15" i="4"/>
  <c r="L15" i="4" s="1"/>
  <c r="J17" i="4"/>
  <c r="L17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C3" i="1" l="1"/>
  <c r="C31" i="1"/>
  <c r="B10" i="1"/>
  <c r="C21" i="1"/>
  <c r="B17" i="1"/>
  <c r="B5" i="1"/>
  <c r="D5" i="1" s="1"/>
  <c r="C22" i="1"/>
  <c r="C4" i="1"/>
  <c r="B3" i="1"/>
  <c r="C20" i="1"/>
  <c r="B18" i="1"/>
  <c r="C27" i="1"/>
  <c r="B19" i="1"/>
  <c r="C8" i="1"/>
  <c r="C29" i="1"/>
  <c r="C9" i="1"/>
  <c r="C18" i="1"/>
  <c r="B20" i="1"/>
  <c r="C10" i="1"/>
  <c r="C30" i="1"/>
  <c r="B22" i="1"/>
  <c r="B21" i="1"/>
  <c r="B26" i="1"/>
  <c r="B27" i="1"/>
  <c r="C11" i="1"/>
  <c r="C12" i="1"/>
  <c r="B12" i="1"/>
  <c r="B4" i="1"/>
  <c r="B11" i="1"/>
  <c r="B7" i="1"/>
  <c r="B14" i="1"/>
  <c r="C15" i="1"/>
  <c r="C16" i="1"/>
  <c r="B8" i="1"/>
  <c r="B2" i="1"/>
  <c r="B9" i="1"/>
  <c r="B15" i="1"/>
  <c r="B30" i="1"/>
  <c r="C17" i="1"/>
  <c r="C6" i="1"/>
  <c r="B16" i="1"/>
  <c r="B6" i="1"/>
  <c r="B25" i="1"/>
  <c r="B31" i="1"/>
  <c r="C2" i="1"/>
  <c r="C7" i="1"/>
  <c r="C28" i="1"/>
  <c r="B13" i="1"/>
  <c r="B28" i="1"/>
  <c r="C26" i="1"/>
  <c r="C13" i="1"/>
  <c r="B29" i="1"/>
  <c r="C14" i="1"/>
  <c r="D24" i="1"/>
  <c r="D23" i="1"/>
  <c r="J2" i="5"/>
  <c r="L2" i="5" s="1"/>
  <c r="J3" i="4"/>
  <c r="L3" i="4" s="1"/>
  <c r="J2" i="3"/>
  <c r="L2" i="3" s="1"/>
  <c r="D13" i="1" l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<sst xmlns="http://schemas.openxmlformats.org/spreadsheetml/2006/main" count="3521" uniqueCount="165">
  <si>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</si>
  <si>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</si>
  <si>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</si>
  <si>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</si>
  <si>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</si>
  <si>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</si>
  <si>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</si>
  <si>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</si>
  <si>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</si>
  <si>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</si>
  <si>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</si>
  <si>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</si>
  <si>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</si>
  <si>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</si>
  <si>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</si>
  <si>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</si>
  <si>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</si>
  <si>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</si>
  <si>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</si>
  <si>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</si>
  <si>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</si>
  <si>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</si>
  <si>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</si>
  <si>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</si>
  <si>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</si>
  <si>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</si>
  <si>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</si>
  <si>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</si>
  <si>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</si>
  <si>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</si>
  <si>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</si>
  <si>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</si>
  <si>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</si>
  <si>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</si>
  <si>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</si>
  <si>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</si>
  <si>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</si>
  <si>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</si>
  <si>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</si>
  <si>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</si>
  <si>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</si>
  <si>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</si>
  <si>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</si>
  <si>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</si>
  <si>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</si>
  <si>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</si>
  <si>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</si>
  <si>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</si>
  <si>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</si>
  <si>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</si>
  <si>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</si>
  <si>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</si>
  <si>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</si>
  <si>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</si>
  <si>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</si>
  <si>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</si>
  <si>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</si>
  <si>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</si>
  <si>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</si>
  <si>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</si>
  <si>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</si>
  <si>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</si>
  <si>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</si>
  <si>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</si>
  <si>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</si>
  <si>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</si>
  <si>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</si>
  <si>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</si>
  <si>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</si>
  <si>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</si>
  <si>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</si>
  <si>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</si>
  <si>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</si>
  <si>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</si>
  <si>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</si>
  <si>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</si>
  <si>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</si>
  <si>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</si>
  <si>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</si>
  <si>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</si>
  <si>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</si>
  <si>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</si>
  <si>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</si>
  <si>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</si>
  <si>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</si>
  <si>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</si>
  <si>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</si>
  <si>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</si>
  <si>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</si>
  <si>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</si>
  <si>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</si>
  <si>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</si>
  <si>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</si>
  <si>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</si>
  <si>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</si>
  <si>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</si>
  <si>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</si>
  <si>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</si>
  <si>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</si>
  <si>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</si>
  <si>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</si>
  <si>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</si>
  <si>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</si>
  <si>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</si>
  <si>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</si>
  <si>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</si>
  <si>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</si>
  <si>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8g</t>
  </si>
  <si>
    <t>109bags</t>
  </si>
  <si>
    <t>46g</t>
  </si>
  <si>
    <t>20g</t>
  </si>
  <si>
    <t>44190.5g</t>
  </si>
  <si>
    <t>56t 2h 4g</t>
  </si>
  <si>
    <t>Port</t>
  </si>
  <si>
    <t>6t 2h 15g</t>
  </si>
  <si>
    <t>106bags</t>
  </si>
  <si>
    <t>38.5g</t>
  </si>
  <si>
    <t>14635.75g</t>
  </si>
  <si>
    <t>57t 1h 45g</t>
  </si>
  <si>
    <t>13t 7g</t>
  </si>
  <si>
    <t>302.75bags</t>
  </si>
  <si>
    <t>102g</t>
  </si>
  <si>
    <t>1h 54g</t>
  </si>
  <si>
    <t>Balsam Artificial</t>
  </si>
  <si>
    <t>6g</t>
  </si>
  <si>
    <t>16g</t>
  </si>
  <si>
    <t>523216g</t>
  </si>
  <si>
    <t>33t 1h 46g</t>
  </si>
  <si>
    <t>1t 3h 15g</t>
  </si>
  <si>
    <t>749bags</t>
  </si>
  <si>
    <t>1.5g</t>
  </si>
  <si>
    <t>6694g</t>
  </si>
  <si>
    <t>32t 3h 30g</t>
  </si>
  <si>
    <t>120bags</t>
  </si>
  <si>
    <t>5.5g</t>
  </si>
  <si>
    <t>2900g</t>
  </si>
  <si>
    <t>17t 55g</t>
  </si>
  <si>
    <t>10bags</t>
  </si>
  <si>
    <t>Archelia</t>
  </si>
  <si>
    <t>18.25g</t>
  </si>
  <si>
    <t>15431g</t>
  </si>
  <si>
    <t>29t 56g</t>
  </si>
  <si>
    <t>3t 57g</t>
  </si>
  <si>
    <t>289.5bags</t>
  </si>
  <si>
    <t>7338g</t>
  </si>
  <si>
    <t>1t 1h</t>
  </si>
  <si>
    <t>Wood, Camwood</t>
  </si>
  <si>
    <t>347.5bags</t>
  </si>
  <si>
    <t>2.5g</t>
  </si>
  <si>
    <t>22t 1h 49g</t>
  </si>
  <si>
    <t>932.75bags</t>
  </si>
  <si>
    <t>2g</t>
  </si>
  <si>
    <t>139698g</t>
  </si>
  <si>
    <t>11t 6g</t>
  </si>
  <si>
    <t>412.75bags</t>
  </si>
  <si>
    <t>1428g</t>
  </si>
  <si>
    <t>27.75bags</t>
  </si>
  <si>
    <t>300g</t>
  </si>
  <si>
    <t>8bags</t>
  </si>
  <si>
    <t>30115.75g</t>
  </si>
  <si>
    <t>7t 1h 29g</t>
  </si>
  <si>
    <t>154.5bags</t>
  </si>
  <si>
    <t>1865g</t>
  </si>
  <si>
    <t>13t 3h 18g</t>
  </si>
  <si>
    <t>999.25bags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</si>
</sst>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L30" sqref="L30"/>
    </sheetView>
  </sheetViews>
  <sheetFormatPr defaultRowHeight="14.5" x14ac:dyDescent="0.35"/>
  <cols>
    <col min="1" max="1" width="17.08984375" customWidth="1"/>
    <col min="2" max="2" width="21.90625" customWidth="1"/>
    <col min="3" max="3" width="21" customWidth="1"/>
    <col min="4" max="4" width="20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 + SUMIFS(Anguilla!$L:$L, Anguilla!$B:$B, $A2, Anguilla!$D:$D, "London") + SUMIFS(Tortola!$L:$L, Tortola!$B:$B, $A2, Tortola!$D:$D,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"Out Ports") + SUMIFS(Anguilla!$L:$L, Anguilla!$B:$B, $A2, Anguilla!$D:$D, "Out Ports") + SUMIFS(Tortola!$L:$L, Tortola!$B:$B, $A2, Tortola!$D:$D, "Out Ports")</f>
        <v>0</v>
      </c>
      <c r="D2">
        <f>B2+C2</f>
        <v>0</v>
      </c>
    </row>
    <row r="3" spans="1:4" x14ac:dyDescent="0.3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 + SUMIFS(Anguilla!$L:$L, Anguilla!$B:$B, $A3, Anguilla!$D:$D, "London") + SUMIFS(Tortola!$L:$L, Tortola!$B:$B, $A3, Tortola!$D:$D, "London")</f>
        <v>0.84553571428571428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"Out Ports") + SUMIFS(Anguilla!$L:$L, Anguilla!$B:$B, $A3, Anguilla!$D:$D, "Out Ports") + SUMIFS(Tortola!$L:$L, Tortola!$B:$B, $A3, Tortola!$D:$D, "Out Ports")</f>
        <v>1.690625</v>
      </c>
      <c r="D3">
        <f t="shared" ref="D3:D31" si="0">B3+C3</f>
        <v>2.5361607142857143</v>
      </c>
    </row>
    <row r="4" spans="1:4" x14ac:dyDescent="0.3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 + SUMIFS(Anguilla!$L:$L, Anguilla!$B:$B, $A4, Anguilla!$D:$D, "London") + SUMIFS(Tortola!$L:$L, Tortola!$B:$B, $A4, Tortola!$D:$D, "London")</f>
        <v>31542.07767857143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"Out Ports") + SUMIFS(Anguilla!$L:$L, Anguilla!$B:$B, $A4, Anguilla!$D:$D, "Out Ports") + SUMIFS(Tortola!$L:$L, Tortola!$B:$B, $A4, Tortola!$D:$D, "Out Ports")</f>
        <v>14155.371874999999</v>
      </c>
      <c r="D4">
        <f t="shared" si="0"/>
        <v>45697.44955357143</v>
      </c>
    </row>
    <row r="5" spans="1:4" x14ac:dyDescent="0.3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 + SUMIFS(Anguilla!$L:$L, Anguilla!$B:$B, $A5, Anguilla!$D:$D, "London") + SUMIFS(Tortola!$L:$L, Tortola!$B:$B, $A5, Tortola!$D:$D,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"Out Ports") + SUMIFS(Anguilla!$L:$L, Anguilla!$B:$B, $A5, Anguilla!$D:$D, "Out Ports") + SUMIFS(Tortola!$L:$L, Tortola!$B:$B, $A5, Tortola!$D:$D, "Out Ports")</f>
        <v>0</v>
      </c>
      <c r="D5">
        <f t="shared" si="0"/>
        <v>0</v>
      </c>
    </row>
    <row r="6" spans="1:4" x14ac:dyDescent="0.3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 + SUMIFS(Anguilla!$L:$L, Anguilla!$B:$B, $A6, Anguilla!$D:$D, "London") + SUMIFS(Tortola!$L:$L, Tortola!$B:$B, $A6, Tortola!$D:$D, "London")</f>
        <v>49.486607142857146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"Out Ports") + SUMIFS(Anguilla!$L:$L, Anguilla!$B:$B, $A6, Anguilla!$D:$D, "Out Ports") + SUMIFS(Tortola!$L:$L, Tortola!$B:$B, $A6, Tortola!$D:$D, "Out Ports")</f>
        <v>6.1017857142857146</v>
      </c>
      <c r="D6">
        <f t="shared" si="0"/>
        <v>55.588392857142864</v>
      </c>
    </row>
    <row r="7" spans="1:4" x14ac:dyDescent="0.3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 + SUMIFS(Anguilla!$L:$L, Anguilla!$B:$B, $A7, Anguilla!$D:$D, "London") + SUMIFS(Tortola!$L:$L, Tortola!$B:$B, $A7, Tortola!$D:$D, "London")</f>
        <v>179.17410714285714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"Out Ports") + SUMIFS(Anguilla!$L:$L, Anguilla!$B:$B, $A7, Anguilla!$D:$D, "Out Ports") + SUMIFS(Tortola!$L:$L, Tortola!$B:$B, $A7, Tortola!$D:$D, "Out Ports")</f>
        <v>257.36607142857144</v>
      </c>
      <c r="D7">
        <f t="shared" si="0"/>
        <v>436.54017857142856</v>
      </c>
    </row>
    <row r="8" spans="1:4" x14ac:dyDescent="0.3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 + SUMIFS(Anguilla!$L:$L, Anguilla!$B:$B, $A8, Anguilla!$D:$D, "London") + SUMIFS(Tortola!$L:$L, Tortola!$B:$B, $A8, Tortola!$D:$D, "London")</f>
        <v>359.66741071428572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"Out Ports") + SUMIFS(Anguilla!$L:$L, Anguilla!$B:$B, $A8, Anguilla!$D:$D, "Out Ports") + SUMIFS(Tortola!$L:$L, Tortola!$B:$B, $A8, Tortola!$D:$D, "Out Ports")</f>
        <v>295.56026785714283</v>
      </c>
      <c r="D8">
        <f t="shared" si="0"/>
        <v>655.22767857142856</v>
      </c>
    </row>
    <row r="9" spans="1:4" x14ac:dyDescent="0.3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 + SUMIFS(Anguilla!$L:$L, Anguilla!$B:$B, $A9, Anguilla!$D:$D, "London") + SUMIFS(Tortola!$L:$L, Tortola!$B:$B, $A9, Tortola!$D:$D, "London")</f>
        <v>11.015178571428571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"Out Ports") + SUMIFS(Anguilla!$L:$L, Anguilla!$B:$B, $A9, Anguilla!$D:$D, "Out Ports") + SUMIFS(Tortola!$L:$L, Tortola!$B:$B, $A9, Tortola!$D:$D, "Out Ports")</f>
        <v>44.86964285714285</v>
      </c>
      <c r="D9">
        <f t="shared" si="0"/>
        <v>55.884821428571421</v>
      </c>
    </row>
    <row r="10" spans="1:4" x14ac:dyDescent="0.3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 + SUMIFS(Anguilla!$L:$L, Anguilla!$B:$B, $A10, Anguilla!$D:$D, "London") + SUMIFS(Tortola!$L:$L, Tortola!$B:$B, $A10, Tortola!$D:$D, "London")</f>
        <v>6.8156249999999998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"Out Ports") + SUMIFS(Anguilla!$L:$L, Anguilla!$B:$B, $A10, Anguilla!$D:$D, "Out Ports") + SUMIFS(Tortola!$L:$L, Tortola!$B:$B, $A10, Tortola!$D:$D, "Out Ports")</f>
        <v>2.7191964285714287</v>
      </c>
      <c r="D10">
        <f t="shared" si="0"/>
        <v>9.5348214285714281</v>
      </c>
    </row>
    <row r="11" spans="1:4" x14ac:dyDescent="0.3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 + SUMIFS(Anguilla!$L:$L, Anguilla!$B:$B, $A11, Anguilla!$D:$D, "London") + SUMIFS(Tortola!$L:$L, Tortola!$B:$B, $A11, Tortola!$D:$D, "London")</f>
        <v>215.71428571428572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"Out Ports") + SUMIFS(Anguilla!$L:$L, Anguilla!$B:$B, $A11, Anguilla!$D:$D, "Out Ports") + SUMIFS(Tortola!$L:$L, Tortola!$B:$B, $A11, Tortola!$D:$D, "Out Ports")</f>
        <v>225.64464285714286</v>
      </c>
      <c r="D11">
        <f t="shared" si="0"/>
        <v>441.35892857142858</v>
      </c>
    </row>
    <row r="12" spans="1:4" x14ac:dyDescent="0.3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 + SUMIFS(Anguilla!$L:$L, Anguilla!$B:$B, $A12, Anguilla!$D:$D, "London") + SUMIFS(Tortola!$L:$L, Tortola!$B:$B, $A12, Tortola!$D:$D, "London")</f>
        <v>0.23214285714285712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"Out Ports") + SUMIFS(Anguilla!$L:$L, Anguilla!$B:$B, $A12, Anguilla!$D:$D, "Out Ports") + SUMIFS(Tortola!$L:$L, Tortola!$B:$B, $A12, Tortola!$D:$D, "Out Ports")</f>
        <v>0</v>
      </c>
      <c r="D12">
        <f t="shared" si="0"/>
        <v>0.23214285714285712</v>
      </c>
    </row>
    <row r="13" spans="1:4" x14ac:dyDescent="0.3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 + SUMIFS(Anguilla!$L:$L, Anguilla!$B:$B, $A13, Anguilla!$D:$D, "London") + SUMIFS(Tortola!$L:$L, Tortola!$B:$B, $A13, Tortola!$D:$D, "London")</f>
        <v>0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"Out Ports") + SUMIFS(Anguilla!$L:$L, Anguilla!$B:$B, $A13, Anguilla!$D:$D, "Out Ports") + SUMIFS(Tortola!$L:$L, Tortola!$B:$B, $A13, Tortola!$D:$D, "Out Ports")</f>
        <v>0</v>
      </c>
      <c r="D13">
        <f t="shared" si="0"/>
        <v>0</v>
      </c>
    </row>
    <row r="14" spans="1:4" x14ac:dyDescent="0.3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 + SUMIFS(Anguilla!$L:$L, Anguilla!$B:$B, $A14, Anguilla!$D:$D, "London") + SUMIFS(Tortola!$L:$L, Tortola!$B:$B, $A14, Tortola!$D:$D, "London")</f>
        <v>186.12232142857144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"Out Ports") + SUMIFS(Anguilla!$L:$L, Anguilla!$B:$B, $A14, Anguilla!$D:$D, "Out Ports") + SUMIFS(Tortola!$L:$L, Tortola!$B:$B, $A14, Tortola!$D:$D, "Out Ports")</f>
        <v>240.71741071428571</v>
      </c>
      <c r="D14">
        <f t="shared" si="0"/>
        <v>426.83973214285714</v>
      </c>
    </row>
    <row r="15" spans="1:4" x14ac:dyDescent="0.3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 + SUMIFS(Anguilla!$L:$L, Anguilla!$B:$B, $A15, Anguilla!$D:$D, "London") + SUMIFS(Tortola!$L:$L, Tortola!$B:$B, $A15, Tortola!$D:$D, "London")</f>
        <v>11.988839285714286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"Out Ports") + SUMIFS(Anguilla!$L:$L, Anguilla!$B:$B, $A15, Anguilla!$D:$D, "Out Ports") + SUMIFS(Tortola!$L:$L, Tortola!$B:$B, $A15, Tortola!$D:$D, "Out Ports")</f>
        <v>16.881250000000001</v>
      </c>
      <c r="D15">
        <f t="shared" si="0"/>
        <v>28.870089285714286</v>
      </c>
    </row>
    <row r="16" spans="1:4" x14ac:dyDescent="0.3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 + SUMIFS(Anguilla!$L:$L, Anguilla!$B:$B, $A16, Anguilla!$D:$D, "London") + SUMIFS(Tortola!$L:$L, Tortola!$B:$B, $A16, Tortola!$D:$D, "London")</f>
        <v>2711.3089285714286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"Out Ports") + SUMIFS(Anguilla!$L:$L, Anguilla!$B:$B, $A16, Anguilla!$D:$D, "Out Ports") + SUMIFS(Tortola!$L:$L, Tortola!$B:$B, $A16, Tortola!$D:$D, "Out Ports")</f>
        <v>807.10379464285711</v>
      </c>
      <c r="D16">
        <f t="shared" si="0"/>
        <v>3518.4127232142855</v>
      </c>
    </row>
    <row r="17" spans="1:4" x14ac:dyDescent="0.3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 + SUMIFS(Anguilla!$L:$L, Anguilla!$B:$B, $A17, Anguilla!$D:$D, "London") + SUMIFS(Tortola!$L:$L, Tortola!$B:$B, $A17, Tortola!$D:$D,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"Out Ports") + SUMIFS(Anguilla!$L:$L, Anguilla!$B:$B, $A17, Anguilla!$D:$D, "Out Ports") + SUMIFS(Tortola!$L:$L, Tortola!$B:$B, $A17, Tortola!$D:$D, "Out Ports")</f>
        <v>4.2102678571428571</v>
      </c>
      <c r="D17">
        <f t="shared" si="0"/>
        <v>4.2102678571428571</v>
      </c>
    </row>
    <row r="18" spans="1:4" x14ac:dyDescent="0.3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 + SUMIFS(Anguilla!$L:$L, Anguilla!$B:$B, $A18, Anguilla!$D:$D, "London") + SUMIFS(Tortola!$L:$L, Tortola!$B:$B, $A18, Tortola!$D:$D, "London")</f>
        <v>2.7674107142857141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"Out Ports") + SUMIFS(Anguilla!$L:$L, Anguilla!$B:$B, $A18, Anguilla!$D:$D, "Out Ports") + SUMIFS(Tortola!$L:$L, Tortola!$B:$B, $A18, Tortola!$D:$D, "Out Ports")</f>
        <v>0.33794642857142859</v>
      </c>
      <c r="D18">
        <f t="shared" si="0"/>
        <v>3.1053571428571427</v>
      </c>
    </row>
    <row r="19" spans="1:4" x14ac:dyDescent="0.3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 + SUMIFS(Anguilla!$L:$L, Anguilla!$B:$B, $A19, Anguilla!$D:$D, "London") + SUMIFS(Tortola!$L:$L, Tortola!$B:$B, $A19, Tortola!$D:$D, "London")</f>
        <v>1.3022321428571428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"Out Ports") + SUMIFS(Anguilla!$L:$L, Anguilla!$B:$B, $A19, Anguilla!$D:$D, "Out Ports") + SUMIFS(Tortola!$L:$L, Tortola!$B:$B, $A19, Tortola!$D:$D, "Out Ports")</f>
        <v>21.677678571428572</v>
      </c>
      <c r="D19">
        <f t="shared" si="0"/>
        <v>22.979910714285715</v>
      </c>
    </row>
    <row r="20" spans="1:4" x14ac:dyDescent="0.3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 + SUMIFS(Anguilla!$L:$L, Anguilla!$B:$B, $A20, Anguilla!$D:$D, "London") + SUMIFS(Tortola!$L:$L, Tortola!$B:$B, $A20, Tortola!$D:$D, "London")</f>
        <v>0.25892857142857145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"Out Ports") + SUMIFS(Anguilla!$L:$L, Anguilla!$B:$B, $A20, Anguilla!$D:$D, "Out Ports") + SUMIFS(Tortola!$L:$L, Tortola!$B:$B, $A20, Tortola!$D:$D, "Out Ports")</f>
        <v>0.95669642857142845</v>
      </c>
      <c r="D20">
        <f t="shared" si="0"/>
        <v>1.215625</v>
      </c>
    </row>
    <row r="21" spans="1:4" x14ac:dyDescent="0.3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 + SUMIFS(Anguilla!$L:$L, Anguilla!$B:$B, $A21, Anguilla!$D:$D, "London") + SUMIFS(Tortola!$L:$L, Tortola!$B:$B, $A21, Tortola!$D:$D,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"Out Ports") + SUMIFS(Anguilla!$L:$L, Anguilla!$B:$B, $A21, Anguilla!$D:$D, "Out Ports") + SUMIFS(Tortola!$L:$L, Tortola!$B:$B, $A21, Tortola!$D:$D, "Out Ports")</f>
        <v>0</v>
      </c>
      <c r="D21">
        <f t="shared" si="0"/>
        <v>0</v>
      </c>
    </row>
    <row r="22" spans="1:4" x14ac:dyDescent="0.3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 + SUMIFS(Anguilla!$L:$L, Anguilla!$B:$B, $A22, Anguilla!$D:$D, "London") + SUMIFS(Tortola!$L:$L, Tortola!$B:$B, $A22, Tortola!$D:$D,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"Out Ports") + SUMIFS(Anguilla!$L:$L, Anguilla!$B:$B, $A22, Anguilla!$D:$D, "Out Ports") + SUMIFS(Tortola!$L:$L, Tortola!$B:$B, $A22, Tortola!$D:$D, "Out Ports")</f>
        <v>0</v>
      </c>
      <c r="D22">
        <f t="shared" si="0"/>
        <v>0</v>
      </c>
    </row>
    <row r="23" spans="1:4" x14ac:dyDescent="0.3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 + SUMIFS(Anguilla!$L:$L, Anguilla!$B:$B, $A23, Anguilla!$D:$D, "London") + SUMIFS(Tortola!$L:$L, Tortola!$B:$B, $A23, Tortola!$D:$D,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"Out Ports") + SUMIFS(Anguilla!$L:$L, Anguilla!$B:$B, $A23, Anguilla!$D:$D, "Out Ports") + SUMIFS(Tortola!$L:$L, Tortola!$B:$B, $A23, Tortola!$D:$D, "Out Ports")</f>
        <v>0</v>
      </c>
      <c r="D23">
        <f t="shared" si="0"/>
        <v>0</v>
      </c>
    </row>
    <row r="24" spans="1:4" x14ac:dyDescent="0.3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 + SUMIFS(Anguilla!$L:$L, Anguilla!$B:$B, $A24, Anguilla!$D:$D, "London") + SUMIFS(Tortola!$L:$L, Tortola!$B:$B, $A24, Tortola!$D:$D,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"Out Ports") + SUMIFS(Anguilla!$L:$L, Anguilla!$B:$B, $A24, Anguilla!$D:$D, "Out Ports") + SUMIFS(Tortola!$L:$L, Tortola!$B:$B, $A24, Tortola!$D:$D, "Out Ports")</f>
        <v>0</v>
      </c>
      <c r="D24">
        <f t="shared" si="0"/>
        <v>0</v>
      </c>
    </row>
    <row r="25" spans="1:4" x14ac:dyDescent="0.3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 + SUMIFS(Anguilla!$L:$L, Anguilla!$B:$B, $A25, Anguilla!$D:$D, "London") + SUMIFS(Tortola!$L:$L, Tortola!$B:$B, $A25, Tortola!$D:$D, "London")</f>
        <v>2.9026785714285714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"Out Ports") + SUMIFS(Anguilla!$L:$L, Anguilla!$B:$B, $A25, Anguilla!$D:$D, "Out Ports") + SUMIFS(Tortola!$L:$L, Tortola!$B:$B, $A25, Tortola!$D:$D, "Out Ports")</f>
        <v>0</v>
      </c>
      <c r="D25">
        <f t="shared" si="0"/>
        <v>2.9026785714285714</v>
      </c>
    </row>
    <row r="26" spans="1:4" x14ac:dyDescent="0.3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 + SUMIFS(Anguilla!$L:$L, Anguilla!$B:$B, $A26, Anguilla!$D:$D, "London") + SUMIFS(Tortola!$L:$L, Tortola!$B:$B, $A26, Tortola!$D:$D, "London")</f>
        <v>255.61026785714284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"Out Ports") + SUMIFS(Anguilla!$L:$L, Anguilla!$B:$B, $A26, Anguilla!$D:$D, "Out Ports") + SUMIFS(Tortola!$L:$L, Tortola!$B:$B, $A26, Tortola!$D:$D, "Out Ports")</f>
        <v>62.909151785714293</v>
      </c>
      <c r="D26">
        <f t="shared" si="0"/>
        <v>318.51941964285714</v>
      </c>
    </row>
    <row r="27" spans="1:4" x14ac:dyDescent="0.3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 + SUMIFS(Anguilla!$L:$L, Anguilla!$B:$B, $A27, Anguilla!$D:$D, "London") + SUMIFS(Tortola!$L:$L, Tortola!$B:$B, $A27, Tortola!$D:$D, "London")</f>
        <v>148.69999999999999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"Out Ports") + SUMIFS(Anguilla!$L:$L, Anguilla!$B:$B, $A27, Anguilla!$D:$D, "Out Ports") + SUMIFS(Tortola!$L:$L, Tortola!$B:$B, $A27, Tortola!$D:$D, "Out Ports")</f>
        <v>27.082142857142856</v>
      </c>
      <c r="D27">
        <f t="shared" si="0"/>
        <v>175.78214285714284</v>
      </c>
    </row>
    <row r="28" spans="1:4" x14ac:dyDescent="0.3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 + SUMIFS(Anguilla!$L:$L, Anguilla!$B:$B, $A28, Anguilla!$D:$D, "London") + SUMIFS(Tortola!$L:$L, Tortola!$B:$B, $A28, Tortola!$D:$D, "London")</f>
        <v>800.22500000000002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"Out Ports") + SUMIFS(Anguilla!$L:$L, Anguilla!$B:$B, $A28, Anguilla!$D:$D, "Out Ports") + SUMIFS(Tortola!$L:$L, Tortola!$B:$B, $A28, Tortola!$D:$D, "Out Ports")</f>
        <v>1058.7026785714286</v>
      </c>
      <c r="D28">
        <f t="shared" si="0"/>
        <v>1858.9276785714287</v>
      </c>
    </row>
    <row r="29" spans="1:4" x14ac:dyDescent="0.3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 + SUMIFS(Anguilla!$L:$L, Anguilla!$B:$B, $A29, Anguilla!$D:$D, "London") + SUMIFS(Tortola!$L:$L, Tortola!$B:$B, $A29, Tortola!$D:$D, "London")</f>
        <v>1796.4223214285714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"Out Ports") + SUMIFS(Anguilla!$L:$L, Anguilla!$B:$B, $A29, Anguilla!$D:$D, "Out Ports") + SUMIFS(Tortola!$L:$L, Tortola!$B:$B, $A29, Tortola!$D:$D, "Out Ports")</f>
        <v>805.60848214285716</v>
      </c>
      <c r="D29">
        <f t="shared" si="0"/>
        <v>2602.0308035714288</v>
      </c>
    </row>
    <row r="30" spans="1:4" x14ac:dyDescent="0.3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 + SUMIFS(Anguilla!$L:$L, Anguilla!$B:$B, $A30, Anguilla!$D:$D, "London") + SUMIFS(Tortola!$L:$L, Tortola!$B:$B, $A30, Tortola!$D:$D, "London")</f>
        <v>53.15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"Out Ports") + SUMIFS(Anguilla!$L:$L, Anguilla!$B:$B, $A30, Anguilla!$D:$D, "Out Ports") + SUMIFS(Tortola!$L:$L, Tortola!$B:$B, $A30, Tortola!$D:$D, "Out Ports")</f>
        <v>50.587946428571435</v>
      </c>
      <c r="D30">
        <f t="shared" si="0"/>
        <v>103.73794642857143</v>
      </c>
    </row>
    <row r="31" spans="1:4" x14ac:dyDescent="0.3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 + SUMIFS(Anguilla!$L:$L, Anguilla!$B:$B, $A31, Anguilla!$D:$D, "London") + SUMIFS(Tortola!$L:$L, Tortola!$B:$B, $A31, Tortola!$D:$D,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"Out Ports") + SUMIFS(Anguilla!$L:$L, Anguilla!$B:$B, $A31, Anguilla!$D:$D, "Out Ports") + SUMIFS(Tortola!$L:$L, Tortola!$B:$B, $A31, Tortola!$D:$D,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129"/>
  <sheetViews>
    <sheetView workbookViewId="0">
      <selection activeCell="H22" sqref="H22"/>
    </sheetView>
  </sheetViews>
  <sheetFormatPr defaultRowHeight="14.5" x14ac:dyDescent="0.35"/>
  <cols>
    <col min="2" max="2" width="18.90625" customWidth="1"/>
    <col min="3" max="3" width="17.08984375" customWidth="1"/>
    <col min="4" max="4" width="14.7265625" customWidth="1"/>
  </cols>
  <sheetData>
    <row r="1" spans="1:12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35">
      <c r="A2">
        <v>1750</v>
      </c>
      <c r="B2" t="s">
        <v>55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35">
      <c r="A3">
        <v>1750</v>
      </c>
      <c r="B3" t="s">
        <v>57</v>
      </c>
      <c r="C3" t="s">
        <v>75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35">
      <c r="A4">
        <v>1750</v>
      </c>
      <c r="B4" t="s">
        <v>36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35">
      <c r="A5">
        <v>1750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35">
      <c r="A6">
        <v>1750</v>
      </c>
      <c r="B6" t="s">
        <v>58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35">
      <c r="A7">
        <v>1750</v>
      </c>
      <c r="B7" t="s">
        <v>69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35">
      <c r="A8">
        <v>1750</v>
      </c>
      <c r="B8" t="s">
        <v>43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35">
      <c r="A9">
        <v>1750</v>
      </c>
      <c r="B9" t="s">
        <v>76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35">
      <c r="A10">
        <v>1750</v>
      </c>
      <c r="B10" t="s">
        <v>5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35">
      <c r="A11">
        <v>1750</v>
      </c>
      <c r="B11" t="s">
        <v>59</v>
      </c>
      <c r="C11" t="s">
        <v>75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35">
      <c r="A12">
        <v>1750</v>
      </c>
      <c r="B12" t="s">
        <v>6</v>
      </c>
      <c r="C12" t="s">
        <v>75</v>
      </c>
      <c r="D12" t="s">
        <v>33</v>
      </c>
      <c r="F12">
        <v>1413</v>
      </c>
      <c r="J12">
        <f t="shared" si="0"/>
        <v>158256</v>
      </c>
      <c r="L12">
        <f t="shared" si="1"/>
        <v>70.650000000000006</v>
      </c>
    </row>
    <row r="13" spans="1:12" x14ac:dyDescent="0.35">
      <c r="A13">
        <v>1750</v>
      </c>
      <c r="B13" t="s">
        <v>60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35">
      <c r="A14">
        <v>1750</v>
      </c>
      <c r="B14" t="s">
        <v>38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35">
      <c r="A15">
        <v>1750</v>
      </c>
      <c r="B15" t="s">
        <v>37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35">
      <c r="A16">
        <v>1750</v>
      </c>
      <c r="B16" t="s">
        <v>8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40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35">
      <c r="A18">
        <v>1750</v>
      </c>
      <c r="B18" t="s">
        <v>77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78</v>
      </c>
      <c r="C19" t="s">
        <v>75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35">
      <c r="A20">
        <v>1750</v>
      </c>
      <c r="B20" t="s">
        <v>46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9</v>
      </c>
      <c r="C21" t="s">
        <v>75</v>
      </c>
      <c r="D21" t="s">
        <v>33</v>
      </c>
      <c r="H21">
        <f>109*200</f>
        <v>21800</v>
      </c>
      <c r="I21" t="s">
        <v>108</v>
      </c>
      <c r="J21">
        <f t="shared" si="0"/>
        <v>21800</v>
      </c>
      <c r="L21">
        <f t="shared" si="1"/>
        <v>9.7321428571428577</v>
      </c>
    </row>
    <row r="22" spans="1:12" x14ac:dyDescent="0.35">
      <c r="A22">
        <v>1750</v>
      </c>
      <c r="B22" t="s">
        <v>10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35">
      <c r="A23">
        <v>1750</v>
      </c>
      <c r="B23" t="s">
        <v>11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35">
      <c r="A24">
        <v>1750</v>
      </c>
      <c r="B24" t="s">
        <v>39</v>
      </c>
      <c r="C24" t="s">
        <v>75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79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35">
      <c r="A26">
        <v>1750</v>
      </c>
      <c r="B26" t="s">
        <v>103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35">
      <c r="A27">
        <v>1750</v>
      </c>
      <c r="B27" t="s">
        <v>44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35">
      <c r="A28">
        <v>1750</v>
      </c>
      <c r="B28" t="s">
        <v>80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81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82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35">
      <c r="A31">
        <v>1750</v>
      </c>
      <c r="B31" t="s">
        <v>34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13</v>
      </c>
      <c r="C32" t="s">
        <v>75</v>
      </c>
      <c r="D32" t="s">
        <v>33</v>
      </c>
      <c r="E32">
        <v>6</v>
      </c>
      <c r="J32">
        <f t="shared" si="0"/>
        <v>13440</v>
      </c>
      <c r="L32">
        <f t="shared" si="1"/>
        <v>6</v>
      </c>
    </row>
    <row r="33" spans="1:12" x14ac:dyDescent="0.35">
      <c r="A33">
        <v>1750</v>
      </c>
      <c r="B33" t="s">
        <v>14</v>
      </c>
      <c r="C33" t="s">
        <v>75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35">
      <c r="A34">
        <v>1750</v>
      </c>
      <c r="B34" t="s">
        <v>23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27</v>
      </c>
      <c r="C35" t="s">
        <v>75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35">
      <c r="A36">
        <v>1750</v>
      </c>
      <c r="B36" t="s">
        <v>15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35">
      <c r="A37">
        <v>1750</v>
      </c>
      <c r="B37" t="s">
        <v>42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83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35">
      <c r="A39">
        <v>1750</v>
      </c>
      <c r="B39" t="s">
        <v>47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16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35">
      <c r="A41">
        <v>1750</v>
      </c>
      <c r="B41" t="s">
        <v>17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18</v>
      </c>
      <c r="C42" t="s">
        <v>75</v>
      </c>
      <c r="D42" t="s">
        <v>33</v>
      </c>
      <c r="H42">
        <v>80</v>
      </c>
      <c r="I42" t="s">
        <v>107</v>
      </c>
      <c r="J42">
        <f t="shared" si="0"/>
        <v>80</v>
      </c>
      <c r="L42">
        <f t="shared" si="1"/>
        <v>3.5714285714285712E-2</v>
      </c>
    </row>
    <row r="43" spans="1:12" x14ac:dyDescent="0.35">
      <c r="A43">
        <v>1750</v>
      </c>
      <c r="B43" t="s">
        <v>26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35">
      <c r="A44">
        <v>1750</v>
      </c>
      <c r="B44" t="s">
        <v>84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35">
      <c r="A45">
        <v>1750</v>
      </c>
      <c r="B45" t="s">
        <v>19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35">
      <c r="A46">
        <v>1750</v>
      </c>
      <c r="B46" t="s">
        <v>45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35">
      <c r="A47">
        <v>1750</v>
      </c>
      <c r="B47" t="s">
        <v>85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35">
      <c r="A48">
        <v>1750</v>
      </c>
      <c r="B48" t="s">
        <v>54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86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35">
      <c r="A50">
        <v>1750</v>
      </c>
      <c r="B50" t="s">
        <v>20</v>
      </c>
      <c r="C50" t="s">
        <v>75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35">
      <c r="A51">
        <v>1750</v>
      </c>
      <c r="B51" t="s">
        <v>21</v>
      </c>
      <c r="C51" t="s">
        <v>75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22</v>
      </c>
      <c r="C52" t="s">
        <v>75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35">
      <c r="A53">
        <v>1750</v>
      </c>
      <c r="B53" t="s">
        <v>61</v>
      </c>
      <c r="C53" t="s">
        <v>75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35">
      <c r="A54">
        <v>1750</v>
      </c>
      <c r="B54" t="s">
        <v>87</v>
      </c>
      <c r="C54" t="s">
        <v>75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62</v>
      </c>
      <c r="C55" t="s">
        <v>75</v>
      </c>
      <c r="D55" t="s">
        <v>33</v>
      </c>
      <c r="E55">
        <v>36</v>
      </c>
      <c r="J55">
        <f t="shared" si="0"/>
        <v>80640</v>
      </c>
      <c r="L55">
        <f t="shared" si="1"/>
        <v>36</v>
      </c>
    </row>
    <row r="56" spans="1:12" x14ac:dyDescent="0.35">
      <c r="A56">
        <v>1750</v>
      </c>
      <c r="B56" t="s">
        <v>88</v>
      </c>
      <c r="C56" t="s">
        <v>75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35">
      <c r="A57">
        <v>1750</v>
      </c>
      <c r="B57" t="s">
        <v>63</v>
      </c>
      <c r="C57" t="s">
        <v>75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35">
      <c r="A58">
        <v>1750</v>
      </c>
      <c r="B58" t="s">
        <v>89</v>
      </c>
      <c r="C58" t="s">
        <v>75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35">
      <c r="A59">
        <v>1750</v>
      </c>
      <c r="B59" t="s">
        <v>70</v>
      </c>
      <c r="C59" t="s">
        <v>75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35">
      <c r="A60">
        <v>1750</v>
      </c>
      <c r="B60" t="s">
        <v>64</v>
      </c>
      <c r="C60" t="s">
        <v>75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35">
      <c r="A61">
        <v>1750</v>
      </c>
      <c r="B61" t="s">
        <v>65</v>
      </c>
      <c r="C61" t="s">
        <v>75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35">
      <c r="A62">
        <v>1750</v>
      </c>
      <c r="B62" t="s">
        <v>4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35">
      <c r="A63">
        <v>1750</v>
      </c>
      <c r="B63" t="s">
        <v>6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60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35">
      <c r="A65">
        <v>1750</v>
      </c>
      <c r="B65" t="s">
        <v>7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35">
      <c r="A66">
        <v>1750</v>
      </c>
      <c r="B66" t="s">
        <v>8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35">
      <c r="A67">
        <v>1750</v>
      </c>
      <c r="B67" t="s">
        <v>9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35">
      <c r="A68">
        <v>1750</v>
      </c>
      <c r="B68" t="s">
        <v>10</v>
      </c>
      <c r="C68" t="s">
        <v>75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35">
      <c r="A69">
        <v>1750</v>
      </c>
      <c r="B69" t="s">
        <v>11</v>
      </c>
      <c r="C69" t="s">
        <v>75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35">
      <c r="A70">
        <v>1750</v>
      </c>
      <c r="B70" t="s">
        <v>12</v>
      </c>
      <c r="C70" t="s">
        <v>75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35">
      <c r="A71">
        <v>1750</v>
      </c>
      <c r="B71" t="s">
        <v>13</v>
      </c>
      <c r="C71" t="s">
        <v>75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35">
      <c r="A72">
        <v>1750</v>
      </c>
      <c r="B72" t="s">
        <v>14</v>
      </c>
      <c r="C72" t="s">
        <v>75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35">
      <c r="A73">
        <v>1750</v>
      </c>
      <c r="B73" t="s">
        <v>27</v>
      </c>
      <c r="C73" t="s">
        <v>75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15</v>
      </c>
      <c r="C74" t="s">
        <v>75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35">
      <c r="A75">
        <v>1750</v>
      </c>
      <c r="B75" t="s">
        <v>16</v>
      </c>
      <c r="C75" t="s">
        <v>75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17</v>
      </c>
      <c r="C76" t="s">
        <v>75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18</v>
      </c>
      <c r="C77" t="s">
        <v>75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35">
      <c r="A78">
        <v>1750</v>
      </c>
      <c r="B78" t="s">
        <v>19</v>
      </c>
      <c r="C78" t="s">
        <v>75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45</v>
      </c>
      <c r="C79" t="s">
        <v>75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35">
      <c r="A80">
        <v>1750</v>
      </c>
      <c r="B80" t="s">
        <v>54</v>
      </c>
      <c r="C80" t="s">
        <v>75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71</v>
      </c>
      <c r="C81" t="s">
        <v>75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21</v>
      </c>
      <c r="C82" t="s">
        <v>75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22</v>
      </c>
      <c r="C83" t="s">
        <v>75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35">
      <c r="A84">
        <v>1750</v>
      </c>
      <c r="B84" t="s">
        <v>61</v>
      </c>
      <c r="C84" t="s">
        <v>75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62</v>
      </c>
      <c r="C85" t="s">
        <v>75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35">
      <c r="A86">
        <v>1750</v>
      </c>
      <c r="B86" t="s">
        <v>63</v>
      </c>
      <c r="C86" t="s">
        <v>75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35">
      <c r="A87">
        <v>1750</v>
      </c>
      <c r="B87" t="s">
        <v>70</v>
      </c>
      <c r="C87" t="s">
        <v>75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35">
      <c r="A88">
        <v>1750</v>
      </c>
      <c r="B88" t="s">
        <v>64</v>
      </c>
      <c r="C88" t="s">
        <v>75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35">
      <c r="J89">
        <f t="shared" si="2"/>
        <v>0</v>
      </c>
      <c r="L89">
        <f t="shared" si="3"/>
        <v>0</v>
      </c>
    </row>
    <row r="90" spans="1:12" x14ac:dyDescent="0.35">
      <c r="J90">
        <f t="shared" si="2"/>
        <v>0</v>
      </c>
      <c r="L90">
        <f t="shared" si="3"/>
        <v>0</v>
      </c>
    </row>
    <row r="91" spans="1:12" x14ac:dyDescent="0.35">
      <c r="J91">
        <f t="shared" si="2"/>
        <v>0</v>
      </c>
      <c r="L91">
        <f t="shared" si="3"/>
        <v>0</v>
      </c>
    </row>
    <row r="92" spans="1:12" x14ac:dyDescent="0.35">
      <c r="J92">
        <f t="shared" si="2"/>
        <v>0</v>
      </c>
      <c r="L92">
        <f t="shared" si="3"/>
        <v>0</v>
      </c>
    </row>
    <row r="93" spans="1:12" x14ac:dyDescent="0.35">
      <c r="J93">
        <f t="shared" si="2"/>
        <v>0</v>
      </c>
      <c r="L93">
        <f t="shared" si="3"/>
        <v>0</v>
      </c>
    </row>
    <row r="94" spans="1:12" x14ac:dyDescent="0.35">
      <c r="J94">
        <f t="shared" si="2"/>
        <v>0</v>
      </c>
      <c r="L94">
        <f t="shared" si="3"/>
        <v>0</v>
      </c>
    </row>
    <row r="95" spans="1:12" x14ac:dyDescent="0.35">
      <c r="J95">
        <f t="shared" si="2"/>
        <v>0</v>
      </c>
      <c r="L95">
        <f t="shared" si="3"/>
        <v>0</v>
      </c>
    </row>
    <row r="96" spans="1:12" x14ac:dyDescent="0.35">
      <c r="J96">
        <f t="shared" si="2"/>
        <v>0</v>
      </c>
      <c r="L96">
        <f t="shared" si="3"/>
        <v>0</v>
      </c>
    </row>
    <row r="97" spans="10:12" x14ac:dyDescent="0.35">
      <c r="J97">
        <f t="shared" si="2"/>
        <v>0</v>
      </c>
      <c r="L97">
        <f t="shared" si="3"/>
        <v>0</v>
      </c>
    </row>
    <row r="98" spans="10:12" x14ac:dyDescent="0.35">
      <c r="J98">
        <f t="shared" si="2"/>
        <v>0</v>
      </c>
      <c r="L98">
        <f t="shared" si="3"/>
        <v>0</v>
      </c>
    </row>
    <row r="99" spans="10:12" x14ac:dyDescent="0.35">
      <c r="J99">
        <f t="shared" si="2"/>
        <v>0</v>
      </c>
      <c r="L99">
        <f t="shared" si="3"/>
        <v>0</v>
      </c>
    </row>
    <row r="100" spans="10:12" x14ac:dyDescent="0.35">
      <c r="J100">
        <f t="shared" si="2"/>
        <v>0</v>
      </c>
      <c r="L100">
        <f t="shared" si="3"/>
        <v>0</v>
      </c>
    </row>
    <row r="101" spans="10:12" x14ac:dyDescent="0.35">
      <c r="J101">
        <f t="shared" si="2"/>
        <v>0</v>
      </c>
      <c r="L101">
        <f t="shared" si="3"/>
        <v>0</v>
      </c>
    </row>
    <row r="102" spans="10:12" x14ac:dyDescent="0.35">
      <c r="J102">
        <f t="shared" si="2"/>
        <v>0</v>
      </c>
      <c r="L102">
        <f t="shared" si="3"/>
        <v>0</v>
      </c>
    </row>
    <row r="103" spans="10:12" x14ac:dyDescent="0.35">
      <c r="J103">
        <f t="shared" si="2"/>
        <v>0</v>
      </c>
      <c r="L103">
        <f t="shared" si="3"/>
        <v>0</v>
      </c>
    </row>
    <row r="104" spans="10:12" x14ac:dyDescent="0.35">
      <c r="J104">
        <f t="shared" si="2"/>
        <v>0</v>
      </c>
      <c r="L104">
        <f t="shared" si="3"/>
        <v>0</v>
      </c>
    </row>
    <row r="105" spans="10:12" x14ac:dyDescent="0.35">
      <c r="J105">
        <f t="shared" si="2"/>
        <v>0</v>
      </c>
      <c r="L105">
        <f t="shared" si="3"/>
        <v>0</v>
      </c>
    </row>
    <row r="106" spans="10:12" x14ac:dyDescent="0.35">
      <c r="J106">
        <f t="shared" si="2"/>
        <v>0</v>
      </c>
      <c r="L106">
        <f t="shared" si="3"/>
        <v>0</v>
      </c>
    </row>
    <row r="107" spans="10:12" x14ac:dyDescent="0.35">
      <c r="J107">
        <f t="shared" si="2"/>
        <v>0</v>
      </c>
      <c r="L107">
        <f t="shared" si="3"/>
        <v>0</v>
      </c>
    </row>
    <row r="108" spans="10:12" x14ac:dyDescent="0.35">
      <c r="J108">
        <f t="shared" si="2"/>
        <v>0</v>
      </c>
      <c r="L108">
        <f t="shared" si="3"/>
        <v>0</v>
      </c>
    </row>
    <row r="109" spans="10:12" x14ac:dyDescent="0.35">
      <c r="J109">
        <f t="shared" si="2"/>
        <v>0</v>
      </c>
      <c r="L109">
        <f t="shared" si="3"/>
        <v>0</v>
      </c>
    </row>
    <row r="110" spans="10:12" x14ac:dyDescent="0.35">
      <c r="J110">
        <f t="shared" si="2"/>
        <v>0</v>
      </c>
      <c r="L110">
        <f t="shared" si="3"/>
        <v>0</v>
      </c>
    </row>
    <row r="111" spans="10:12" x14ac:dyDescent="0.35">
      <c r="J111">
        <f t="shared" si="2"/>
        <v>0</v>
      </c>
      <c r="L111">
        <f t="shared" si="3"/>
        <v>0</v>
      </c>
    </row>
    <row r="112" spans="10:12" x14ac:dyDescent="0.35">
      <c r="J112">
        <f t="shared" si="2"/>
        <v>0</v>
      </c>
      <c r="L112">
        <f t="shared" si="3"/>
        <v>0</v>
      </c>
    </row>
    <row r="113" spans="10:12" x14ac:dyDescent="0.35">
      <c r="J113">
        <f t="shared" si="2"/>
        <v>0</v>
      </c>
      <c r="L113">
        <f t="shared" si="3"/>
        <v>0</v>
      </c>
    </row>
    <row r="114" spans="10:12" x14ac:dyDescent="0.35">
      <c r="J114">
        <f t="shared" si="2"/>
        <v>0</v>
      </c>
      <c r="L114">
        <f t="shared" si="3"/>
        <v>0</v>
      </c>
    </row>
    <row r="115" spans="10:12" x14ac:dyDescent="0.35">
      <c r="J115">
        <f t="shared" si="2"/>
        <v>0</v>
      </c>
      <c r="L115">
        <f t="shared" si="3"/>
        <v>0</v>
      </c>
    </row>
    <row r="116" spans="10:12" x14ac:dyDescent="0.35">
      <c r="J116">
        <f t="shared" si="2"/>
        <v>0</v>
      </c>
      <c r="L116">
        <f t="shared" si="3"/>
        <v>0</v>
      </c>
    </row>
    <row r="117" spans="10:12" x14ac:dyDescent="0.35">
      <c r="J117">
        <f t="shared" si="2"/>
        <v>0</v>
      </c>
      <c r="L117">
        <f t="shared" si="3"/>
        <v>0</v>
      </c>
    </row>
    <row r="118" spans="10:12" x14ac:dyDescent="0.35">
      <c r="J118">
        <f t="shared" si="2"/>
        <v>0</v>
      </c>
      <c r="L118">
        <f t="shared" si="3"/>
        <v>0</v>
      </c>
    </row>
    <row r="119" spans="10:12" x14ac:dyDescent="0.35">
      <c r="J119">
        <f t="shared" si="2"/>
        <v>0</v>
      </c>
      <c r="L119">
        <f t="shared" si="3"/>
        <v>0</v>
      </c>
    </row>
    <row r="120" spans="10:12" x14ac:dyDescent="0.35">
      <c r="J120">
        <f t="shared" si="2"/>
        <v>0</v>
      </c>
      <c r="L120">
        <f t="shared" si="3"/>
        <v>0</v>
      </c>
    </row>
    <row r="121" spans="10:12" x14ac:dyDescent="0.35">
      <c r="J121">
        <f t="shared" si="2"/>
        <v>0</v>
      </c>
      <c r="L121">
        <f t="shared" si="3"/>
        <v>0</v>
      </c>
    </row>
    <row r="122" spans="10:12" x14ac:dyDescent="0.35">
      <c r="J122">
        <f t="shared" si="2"/>
        <v>0</v>
      </c>
      <c r="L122">
        <f t="shared" si="3"/>
        <v>0</v>
      </c>
    </row>
    <row r="123" spans="10:12" x14ac:dyDescent="0.35">
      <c r="J123">
        <f t="shared" si="2"/>
        <v>0</v>
      </c>
      <c r="L123">
        <f t="shared" si="3"/>
        <v>0</v>
      </c>
    </row>
    <row r="124" spans="10:12" x14ac:dyDescent="0.35">
      <c r="J124">
        <f t="shared" si="2"/>
        <v>0</v>
      </c>
      <c r="L124">
        <f t="shared" si="3"/>
        <v>0</v>
      </c>
    </row>
    <row r="125" spans="10:12" x14ac:dyDescent="0.35">
      <c r="J125">
        <f t="shared" si="2"/>
        <v>0</v>
      </c>
      <c r="L125">
        <f t="shared" si="3"/>
        <v>0</v>
      </c>
    </row>
    <row r="126" spans="10:12" x14ac:dyDescent="0.35">
      <c r="J126">
        <f t="shared" si="2"/>
        <v>0</v>
      </c>
      <c r="L126">
        <f t="shared" si="3"/>
        <v>0</v>
      </c>
    </row>
    <row r="127" spans="10:12" x14ac:dyDescent="0.35">
      <c r="J127">
        <f t="shared" si="2"/>
        <v>0</v>
      </c>
      <c r="L127">
        <f t="shared" si="3"/>
        <v>0</v>
      </c>
    </row>
    <row r="128" spans="10:12" x14ac:dyDescent="0.35">
      <c r="J128">
        <f t="shared" si="2"/>
        <v>0</v>
      </c>
      <c r="L128">
        <f t="shared" si="3"/>
        <v>0</v>
      </c>
    </row>
    <row r="129" spans="10:12" x14ac:dyDescent="0.35"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2"/>
  <sheetViews>
    <sheetView topLeftCell="A94" workbookViewId="0">
      <selection activeCell="H111" sqref="H111"/>
    </sheetView>
  </sheetViews>
  <sheetFormatPr defaultRowHeight="14.5" x14ac:dyDescent="0.35"/>
  <cols>
    <col min="1" max="1" width="10.90625" customWidth="1"/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35">
      <c r="A2">
        <v>1750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35">
      <c r="A3">
        <v>1750</v>
      </c>
      <c r="B3" t="s">
        <v>57</v>
      </c>
      <c r="C3" t="s">
        <v>53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5" x14ac:dyDescent="0.35">
      <c r="A4">
        <v>1750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35">
      <c r="A5">
        <v>1750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35">
      <c r="A6">
        <v>1750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35">
      <c r="A7">
        <v>1750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35">
      <c r="A8">
        <v>1750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35">
      <c r="A9">
        <v>1750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35">
      <c r="A10">
        <v>1750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35">
      <c r="A11">
        <v>1750</v>
      </c>
      <c r="B11" t="s">
        <v>5</v>
      </c>
      <c r="C11" t="s">
        <v>53</v>
      </c>
      <c r="D11" t="s">
        <v>33</v>
      </c>
      <c r="F11">
        <v>2</v>
      </c>
      <c r="G11">
        <v>1</v>
      </c>
      <c r="J11">
        <f t="shared" si="0"/>
        <v>252</v>
      </c>
      <c r="L11">
        <f t="shared" si="1"/>
        <v>0.1125</v>
      </c>
    </row>
    <row r="12" spans="1:15" x14ac:dyDescent="0.35">
      <c r="A12">
        <v>1750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35">
      <c r="A13">
        <v>1750</v>
      </c>
      <c r="B13" t="s">
        <v>6</v>
      </c>
      <c r="C13" t="s">
        <v>53</v>
      </c>
      <c r="D13" t="s">
        <v>33</v>
      </c>
      <c r="F13">
        <v>115827</v>
      </c>
      <c r="H13">
        <v>11</v>
      </c>
      <c r="J13">
        <f t="shared" si="0"/>
        <v>12972635</v>
      </c>
      <c r="L13">
        <f t="shared" si="1"/>
        <v>5791.3549107142853</v>
      </c>
    </row>
    <row r="14" spans="1:15" x14ac:dyDescent="0.35">
      <c r="A14">
        <v>1750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35">
      <c r="A15">
        <v>1750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35">
      <c r="A16">
        <v>1750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35">
      <c r="A18">
        <v>1750</v>
      </c>
      <c r="B18" t="s">
        <v>8</v>
      </c>
      <c r="C18" t="s">
        <v>53</v>
      </c>
      <c r="D18" t="s">
        <v>33</v>
      </c>
      <c r="F18">
        <v>165</v>
      </c>
      <c r="G18">
        <v>1</v>
      </c>
      <c r="H18">
        <v>14</v>
      </c>
      <c r="J18">
        <f t="shared" si="0"/>
        <v>18522</v>
      </c>
      <c r="L18">
        <f t="shared" si="1"/>
        <v>8.2687500000000007</v>
      </c>
    </row>
    <row r="19" spans="1:12" x14ac:dyDescent="0.35">
      <c r="A19">
        <v>1750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35">
      <c r="A20">
        <v>1750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35">
      <c r="A22">
        <v>1750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35">
      <c r="A23">
        <v>1750</v>
      </c>
      <c r="B23" t="s">
        <v>9</v>
      </c>
      <c r="C23" t="s">
        <v>53</v>
      </c>
      <c r="D23" t="s">
        <v>33</v>
      </c>
      <c r="H23">
        <f>106*200</f>
        <v>21200</v>
      </c>
      <c r="I23" t="s">
        <v>115</v>
      </c>
      <c r="J23">
        <f t="shared" si="0"/>
        <v>21200</v>
      </c>
      <c r="L23">
        <f t="shared" si="1"/>
        <v>9.4642857142857135</v>
      </c>
    </row>
    <row r="24" spans="1:12" x14ac:dyDescent="0.35">
      <c r="A24">
        <v>1750</v>
      </c>
      <c r="B24" t="s">
        <v>10</v>
      </c>
      <c r="C24" t="s">
        <v>53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11</v>
      </c>
      <c r="C25" t="s">
        <v>53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35">
      <c r="A26">
        <v>1750</v>
      </c>
      <c r="B26" t="s">
        <v>39</v>
      </c>
      <c r="C26" t="s">
        <v>53</v>
      </c>
      <c r="D26" t="s">
        <v>33</v>
      </c>
      <c r="H26">
        <v>42</v>
      </c>
      <c r="J26">
        <f t="shared" si="0"/>
        <v>42</v>
      </c>
      <c r="L26">
        <f t="shared" si="1"/>
        <v>1.8749999999999999E-2</v>
      </c>
    </row>
    <row r="27" spans="1:12" x14ac:dyDescent="0.35">
      <c r="A27">
        <v>1750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35">
      <c r="A28">
        <v>1750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35">
      <c r="A31">
        <v>1750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12</v>
      </c>
      <c r="C32" t="s">
        <v>53</v>
      </c>
      <c r="D32" t="s">
        <v>33</v>
      </c>
      <c r="H32">
        <v>40</v>
      </c>
      <c r="J32">
        <f t="shared" si="0"/>
        <v>40</v>
      </c>
      <c r="L32">
        <f t="shared" si="1"/>
        <v>1.7857142857142856E-2</v>
      </c>
    </row>
    <row r="33" spans="1:12" x14ac:dyDescent="0.35">
      <c r="A33">
        <v>1750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35">
      <c r="A34">
        <v>1750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13</v>
      </c>
      <c r="C35" t="s">
        <v>53</v>
      </c>
      <c r="D35" t="s">
        <v>33</v>
      </c>
      <c r="E35">
        <v>24</v>
      </c>
      <c r="F35">
        <v>14</v>
      </c>
      <c r="G35">
        <v>1</v>
      </c>
      <c r="H35">
        <v>4</v>
      </c>
      <c r="J35">
        <f t="shared" si="0"/>
        <v>55360</v>
      </c>
      <c r="L35">
        <f t="shared" si="1"/>
        <v>24.714285714285715</v>
      </c>
    </row>
    <row r="36" spans="1:12" x14ac:dyDescent="0.35">
      <c r="A36">
        <v>1750</v>
      </c>
      <c r="B36" t="s">
        <v>14</v>
      </c>
      <c r="C36" t="s">
        <v>53</v>
      </c>
      <c r="D36" t="s">
        <v>33</v>
      </c>
      <c r="H36">
        <v>460</v>
      </c>
      <c r="I36" t="s">
        <v>109</v>
      </c>
      <c r="J36">
        <f t="shared" si="0"/>
        <v>460</v>
      </c>
      <c r="L36">
        <f t="shared" si="1"/>
        <v>0.20535714285714285</v>
      </c>
    </row>
    <row r="37" spans="1:12" x14ac:dyDescent="0.35">
      <c r="A37">
        <v>1750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27</v>
      </c>
      <c r="C38" t="s">
        <v>53</v>
      </c>
      <c r="D38" t="s">
        <v>33</v>
      </c>
      <c r="H38">
        <v>142456.5</v>
      </c>
      <c r="I38" t="s">
        <v>112</v>
      </c>
      <c r="J38">
        <f t="shared" si="0"/>
        <v>142456.5</v>
      </c>
      <c r="L38">
        <f t="shared" si="1"/>
        <v>63.596651785714286</v>
      </c>
    </row>
    <row r="39" spans="1:12" x14ac:dyDescent="0.35">
      <c r="A39">
        <v>1750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35">
      <c r="A41">
        <v>1750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47</v>
      </c>
      <c r="C42" t="s">
        <v>53</v>
      </c>
      <c r="D42" t="s">
        <v>33</v>
      </c>
      <c r="H42">
        <v>200</v>
      </c>
      <c r="I42" t="s">
        <v>110</v>
      </c>
      <c r="J42">
        <f t="shared" si="0"/>
        <v>200</v>
      </c>
      <c r="L42">
        <f t="shared" si="1"/>
        <v>8.9285714285714288E-2</v>
      </c>
    </row>
    <row r="43" spans="1:12" x14ac:dyDescent="0.35">
      <c r="A43">
        <v>1750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35">
      <c r="A44">
        <v>1750</v>
      </c>
      <c r="B44" t="s">
        <v>113</v>
      </c>
      <c r="C44" t="s">
        <v>53</v>
      </c>
      <c r="D44" t="s">
        <v>33</v>
      </c>
      <c r="H44">
        <v>16534</v>
      </c>
      <c r="I44" t="s">
        <v>114</v>
      </c>
      <c r="J44">
        <f t="shared" si="0"/>
        <v>16534</v>
      </c>
      <c r="L44">
        <f t="shared" si="1"/>
        <v>7.3812499999999996</v>
      </c>
    </row>
    <row r="45" spans="1:12" x14ac:dyDescent="0.35">
      <c r="A45">
        <v>1750</v>
      </c>
      <c r="B45" t="s">
        <v>106</v>
      </c>
      <c r="C45" t="s">
        <v>53</v>
      </c>
      <c r="D45" t="s">
        <v>33</v>
      </c>
      <c r="F45">
        <v>2</v>
      </c>
      <c r="J45">
        <f t="shared" si="0"/>
        <v>224</v>
      </c>
      <c r="L45">
        <f t="shared" si="1"/>
        <v>0.1</v>
      </c>
    </row>
    <row r="46" spans="1:12" x14ac:dyDescent="0.35">
      <c r="A46">
        <v>1750</v>
      </c>
      <c r="B46" t="s">
        <v>17</v>
      </c>
      <c r="C46" t="s">
        <v>53</v>
      </c>
      <c r="D46" t="s">
        <v>33</v>
      </c>
      <c r="F46">
        <v>133</v>
      </c>
      <c r="H46">
        <v>24</v>
      </c>
      <c r="J46">
        <f t="shared" si="0"/>
        <v>14920</v>
      </c>
      <c r="L46">
        <f t="shared" si="1"/>
        <v>6.6607142857142856</v>
      </c>
    </row>
    <row r="47" spans="1:12" x14ac:dyDescent="0.35">
      <c r="A47">
        <v>1750</v>
      </c>
      <c r="B47" t="s">
        <v>18</v>
      </c>
      <c r="C47" t="s">
        <v>53</v>
      </c>
      <c r="D47" t="s">
        <v>33</v>
      </c>
      <c r="H47">
        <v>442018.5</v>
      </c>
      <c r="I47" t="s">
        <v>111</v>
      </c>
      <c r="J47">
        <f t="shared" si="0"/>
        <v>442018.5</v>
      </c>
      <c r="L47">
        <f t="shared" si="1"/>
        <v>197.32968750000001</v>
      </c>
    </row>
    <row r="48" spans="1:12" x14ac:dyDescent="0.35">
      <c r="A48">
        <v>1750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35">
      <c r="A50">
        <v>1750</v>
      </c>
      <c r="B50" t="s">
        <v>19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35">
      <c r="A51">
        <v>1750</v>
      </c>
      <c r="B51" t="s">
        <v>45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35">
      <c r="A53">
        <v>1750</v>
      </c>
      <c r="B53" t="s">
        <v>54</v>
      </c>
      <c r="C53" t="s">
        <v>53</v>
      </c>
      <c r="D53" t="s">
        <v>33</v>
      </c>
      <c r="H53">
        <v>1342</v>
      </c>
      <c r="J53">
        <f t="shared" si="0"/>
        <v>1342</v>
      </c>
      <c r="L53">
        <f t="shared" si="1"/>
        <v>0.59910714285714284</v>
      </c>
    </row>
    <row r="54" spans="1:12" x14ac:dyDescent="0.35">
      <c r="A54">
        <v>1750</v>
      </c>
      <c r="B54" t="s">
        <v>71</v>
      </c>
      <c r="C54" t="s">
        <v>53</v>
      </c>
      <c r="D54" t="s">
        <v>33</v>
      </c>
      <c r="G54">
        <v>1</v>
      </c>
      <c r="H54">
        <v>15</v>
      </c>
      <c r="J54">
        <f t="shared" si="0"/>
        <v>43</v>
      </c>
      <c r="L54">
        <f t="shared" si="1"/>
        <v>1.9196428571428573E-2</v>
      </c>
    </row>
    <row r="55" spans="1:12" x14ac:dyDescent="0.35">
      <c r="A55">
        <v>1750</v>
      </c>
      <c r="B55" t="s">
        <v>95</v>
      </c>
      <c r="C55" t="s">
        <v>53</v>
      </c>
      <c r="D55" t="s">
        <v>33</v>
      </c>
      <c r="H55">
        <v>520</v>
      </c>
      <c r="J55">
        <f t="shared" si="0"/>
        <v>520</v>
      </c>
      <c r="L55">
        <f t="shared" si="1"/>
        <v>0.23214285714285715</v>
      </c>
    </row>
    <row r="56" spans="1:12" x14ac:dyDescent="0.35">
      <c r="A56">
        <v>1750</v>
      </c>
      <c r="B56" t="s">
        <v>20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35">
      <c r="A57">
        <v>1750</v>
      </c>
      <c r="B57" t="s">
        <v>21</v>
      </c>
      <c r="C57" t="s">
        <v>53</v>
      </c>
      <c r="D57" t="s">
        <v>33</v>
      </c>
      <c r="H57">
        <v>339</v>
      </c>
      <c r="J57">
        <f t="shared" si="0"/>
        <v>339</v>
      </c>
      <c r="L57">
        <f t="shared" si="1"/>
        <v>0.1513392857142857</v>
      </c>
    </row>
    <row r="58" spans="1:12" x14ac:dyDescent="0.35">
      <c r="A58">
        <v>1750</v>
      </c>
      <c r="B58" t="s">
        <v>22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35">
      <c r="A59">
        <v>1750</v>
      </c>
      <c r="B59" t="s">
        <v>61</v>
      </c>
      <c r="C59" t="s">
        <v>53</v>
      </c>
      <c r="D59" t="s">
        <v>33</v>
      </c>
      <c r="E59">
        <v>96</v>
      </c>
      <c r="F59">
        <v>10</v>
      </c>
      <c r="J59">
        <f t="shared" si="0"/>
        <v>216160</v>
      </c>
      <c r="L59">
        <f t="shared" si="1"/>
        <v>96.5</v>
      </c>
    </row>
    <row r="60" spans="1:12" x14ac:dyDescent="0.35">
      <c r="A60">
        <v>1750</v>
      </c>
      <c r="B60" t="s">
        <v>99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35">
      <c r="A61">
        <v>1750</v>
      </c>
      <c r="B61" t="s">
        <v>87</v>
      </c>
      <c r="C61" t="s">
        <v>53</v>
      </c>
      <c r="D61" t="s">
        <v>33</v>
      </c>
      <c r="E61">
        <v>242</v>
      </c>
      <c r="F61">
        <v>7</v>
      </c>
      <c r="G61">
        <v>2</v>
      </c>
      <c r="J61">
        <f t="shared" si="0"/>
        <v>542920</v>
      </c>
      <c r="L61">
        <f t="shared" si="1"/>
        <v>242.375</v>
      </c>
    </row>
    <row r="62" spans="1:12" x14ac:dyDescent="0.35">
      <c r="A62">
        <v>1750</v>
      </c>
      <c r="B62" t="s">
        <v>62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35">
      <c r="A63">
        <v>1750</v>
      </c>
      <c r="B63" t="s">
        <v>88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63</v>
      </c>
      <c r="C64" t="s">
        <v>53</v>
      </c>
      <c r="D64" t="s">
        <v>33</v>
      </c>
      <c r="E64">
        <v>34</v>
      </c>
      <c r="F64">
        <v>10</v>
      </c>
      <c r="J64">
        <f t="shared" si="0"/>
        <v>77280</v>
      </c>
      <c r="L64">
        <f t="shared" si="1"/>
        <v>34.5</v>
      </c>
    </row>
    <row r="65" spans="1:12" x14ac:dyDescent="0.35">
      <c r="A65">
        <v>1750</v>
      </c>
      <c r="B65" t="s">
        <v>89</v>
      </c>
      <c r="C65" t="s">
        <v>53</v>
      </c>
      <c r="D65" t="s">
        <v>33</v>
      </c>
      <c r="E65">
        <v>19</v>
      </c>
      <c r="J65">
        <f t="shared" si="0"/>
        <v>42560</v>
      </c>
      <c r="L65">
        <f t="shared" si="1"/>
        <v>19</v>
      </c>
    </row>
    <row r="66" spans="1:12" x14ac:dyDescent="0.35">
      <c r="A66">
        <v>1750</v>
      </c>
      <c r="B66" t="s">
        <v>70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35">
      <c r="A67">
        <v>1750</v>
      </c>
      <c r="B67" t="s">
        <v>64</v>
      </c>
      <c r="C67" t="s">
        <v>53</v>
      </c>
      <c r="D67" t="s">
        <v>33</v>
      </c>
      <c r="E67">
        <v>19</v>
      </c>
      <c r="F67">
        <v>3</v>
      </c>
      <c r="J67">
        <f t="shared" si="0"/>
        <v>42896</v>
      </c>
      <c r="L67">
        <f t="shared" si="1"/>
        <v>19.149999999999999</v>
      </c>
    </row>
    <row r="68" spans="1:12" x14ac:dyDescent="0.35">
      <c r="A68">
        <v>1750</v>
      </c>
      <c r="B68" t="s">
        <v>65</v>
      </c>
      <c r="C68" t="s">
        <v>53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35">
      <c r="A69">
        <v>1750</v>
      </c>
      <c r="B69" t="s">
        <v>55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35">
      <c r="A70">
        <v>1750</v>
      </c>
      <c r="B70" t="s">
        <v>57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35">
      <c r="A71">
        <v>1750</v>
      </c>
      <c r="B71" t="s">
        <v>36</v>
      </c>
      <c r="C71" t="s">
        <v>53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35">
      <c r="A72">
        <v>1750</v>
      </c>
      <c r="B72" t="s">
        <v>4</v>
      </c>
      <c r="C72" t="s">
        <v>53</v>
      </c>
      <c r="D72" t="s">
        <v>35</v>
      </c>
      <c r="J72">
        <f t="shared" ref="J72:J132" si="2">(E72*2240)+(F72*112)+(G72*28)+H72</f>
        <v>0</v>
      </c>
      <c r="L72">
        <f t="shared" ref="L72:L132" si="3">J72/2240</f>
        <v>0</v>
      </c>
    </row>
    <row r="73" spans="1:12" x14ac:dyDescent="0.35">
      <c r="A73">
        <v>1750</v>
      </c>
      <c r="B73" t="s">
        <v>58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69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35">
      <c r="A75">
        <v>1750</v>
      </c>
      <c r="B75" t="s">
        <v>43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76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5</v>
      </c>
      <c r="C77" t="s">
        <v>53</v>
      </c>
      <c r="D77" t="s">
        <v>35</v>
      </c>
      <c r="F77">
        <v>15</v>
      </c>
      <c r="J77">
        <f t="shared" si="2"/>
        <v>1680</v>
      </c>
      <c r="L77">
        <f t="shared" si="3"/>
        <v>0.75</v>
      </c>
    </row>
    <row r="78" spans="1:12" x14ac:dyDescent="0.35">
      <c r="A78">
        <v>1750</v>
      </c>
      <c r="B78" t="s">
        <v>59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6</v>
      </c>
      <c r="C79" t="s">
        <v>53</v>
      </c>
      <c r="D79" t="s">
        <v>35</v>
      </c>
      <c r="F79">
        <v>20645</v>
      </c>
      <c r="H79">
        <v>13</v>
      </c>
      <c r="J79">
        <f t="shared" si="2"/>
        <v>2312253</v>
      </c>
      <c r="L79">
        <f t="shared" si="3"/>
        <v>1032.2558035714285</v>
      </c>
    </row>
    <row r="80" spans="1:12" x14ac:dyDescent="0.35">
      <c r="A80">
        <v>1750</v>
      </c>
      <c r="B80" t="s">
        <v>60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37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35">
      <c r="A84">
        <v>1750</v>
      </c>
      <c r="B84" t="s">
        <v>40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77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35">
      <c r="A86">
        <v>1750</v>
      </c>
      <c r="B86" t="s">
        <v>78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35">
      <c r="A87">
        <v>1750</v>
      </c>
      <c r="B87" t="s">
        <v>46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35">
      <c r="A88">
        <v>1750</v>
      </c>
      <c r="B88" t="s">
        <v>9</v>
      </c>
      <c r="C88" t="s">
        <v>53</v>
      </c>
      <c r="D88" t="s">
        <v>35</v>
      </c>
      <c r="H88">
        <f>347.5*200</f>
        <v>69500</v>
      </c>
      <c r="I88" t="s">
        <v>147</v>
      </c>
      <c r="J88">
        <f t="shared" si="2"/>
        <v>69500</v>
      </c>
      <c r="L88">
        <f t="shared" si="3"/>
        <v>31.026785714285715</v>
      </c>
    </row>
    <row r="89" spans="1:12" x14ac:dyDescent="0.35">
      <c r="A89">
        <v>1750</v>
      </c>
      <c r="B89" t="s">
        <v>10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35">
      <c r="A90">
        <v>1750</v>
      </c>
      <c r="B90" t="s">
        <v>11</v>
      </c>
      <c r="C90" t="s">
        <v>53</v>
      </c>
      <c r="D90" t="s">
        <v>35</v>
      </c>
      <c r="F90">
        <v>68</v>
      </c>
      <c r="G90">
        <v>3</v>
      </c>
      <c r="H90">
        <v>14</v>
      </c>
      <c r="J90">
        <f t="shared" si="2"/>
        <v>7714</v>
      </c>
      <c r="L90">
        <f t="shared" si="3"/>
        <v>3.4437500000000001</v>
      </c>
    </row>
    <row r="91" spans="1:12" x14ac:dyDescent="0.35">
      <c r="A91">
        <v>1750</v>
      </c>
      <c r="B91" t="s">
        <v>39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35">
      <c r="A92">
        <v>1750</v>
      </c>
      <c r="B92" t="s">
        <v>79</v>
      </c>
      <c r="C92" t="s">
        <v>53</v>
      </c>
      <c r="D92" t="s">
        <v>35</v>
      </c>
      <c r="H92">
        <v>269</v>
      </c>
      <c r="J92">
        <f t="shared" si="2"/>
        <v>269</v>
      </c>
      <c r="L92">
        <f t="shared" si="3"/>
        <v>0.12008928571428572</v>
      </c>
    </row>
    <row r="93" spans="1:12" x14ac:dyDescent="0.35">
      <c r="A93">
        <v>1750</v>
      </c>
      <c r="B93" t="s">
        <v>103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35">
      <c r="A94">
        <v>1750</v>
      </c>
      <c r="B94" t="s">
        <v>44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35">
      <c r="A95">
        <v>1750</v>
      </c>
      <c r="B95" t="s">
        <v>97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35">
      <c r="A96">
        <v>1750</v>
      </c>
      <c r="B96" t="s">
        <v>12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35">
      <c r="A97">
        <v>1750</v>
      </c>
      <c r="B97" t="s">
        <v>82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35">
      <c r="A98">
        <v>1750</v>
      </c>
      <c r="B98" t="s">
        <v>34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35">
      <c r="A99">
        <v>1750</v>
      </c>
      <c r="B99" t="s">
        <v>13</v>
      </c>
      <c r="C99" t="s">
        <v>53</v>
      </c>
      <c r="D99" t="s">
        <v>35</v>
      </c>
      <c r="E99">
        <v>24</v>
      </c>
      <c r="F99">
        <v>15</v>
      </c>
      <c r="G99">
        <v>3</v>
      </c>
      <c r="J99">
        <f t="shared" si="2"/>
        <v>55524</v>
      </c>
      <c r="L99">
        <f t="shared" si="3"/>
        <v>24.787500000000001</v>
      </c>
    </row>
    <row r="100" spans="1:12" x14ac:dyDescent="0.35">
      <c r="A100">
        <v>1750</v>
      </c>
      <c r="B100" t="s">
        <v>14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23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35">
      <c r="A102">
        <v>1750</v>
      </c>
      <c r="B102" t="s">
        <v>27</v>
      </c>
      <c r="C102" t="s">
        <v>53</v>
      </c>
      <c r="D102" t="s">
        <v>35</v>
      </c>
      <c r="H102">
        <v>3151</v>
      </c>
      <c r="I102" t="s">
        <v>145</v>
      </c>
      <c r="J102">
        <f t="shared" si="2"/>
        <v>3151</v>
      </c>
      <c r="L102">
        <f t="shared" si="3"/>
        <v>1.4066964285714285</v>
      </c>
    </row>
    <row r="103" spans="1:12" x14ac:dyDescent="0.35">
      <c r="A103">
        <v>1750</v>
      </c>
      <c r="B103" t="s">
        <v>15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35">
      <c r="A104">
        <v>1750</v>
      </c>
      <c r="B104" t="s">
        <v>93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35">
      <c r="A105">
        <v>1750</v>
      </c>
      <c r="B105" t="s">
        <v>42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35">
      <c r="A106">
        <v>1750</v>
      </c>
      <c r="B106" t="s">
        <v>83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35">
      <c r="A107">
        <v>1750</v>
      </c>
      <c r="B107" t="s">
        <v>47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35">
      <c r="A108">
        <v>1750</v>
      </c>
      <c r="B108" t="s">
        <v>16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35">
      <c r="A109">
        <v>1750</v>
      </c>
      <c r="B109" t="s">
        <v>17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35">
      <c r="A110">
        <v>1750</v>
      </c>
      <c r="B110" t="s">
        <v>18</v>
      </c>
      <c r="C110" t="s">
        <v>53</v>
      </c>
      <c r="D110" t="s">
        <v>35</v>
      </c>
      <c r="H110">
        <v>73399</v>
      </c>
      <c r="I110" t="s">
        <v>144</v>
      </c>
      <c r="J110">
        <f t="shared" si="2"/>
        <v>73399</v>
      </c>
      <c r="L110">
        <f t="shared" si="3"/>
        <v>32.767410714285717</v>
      </c>
    </row>
    <row r="111" spans="1:12" x14ac:dyDescent="0.35">
      <c r="A111">
        <v>1750</v>
      </c>
      <c r="B111" t="s">
        <v>26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35">
      <c r="A112">
        <v>1750</v>
      </c>
      <c r="B112" t="s">
        <v>84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35">
      <c r="A113">
        <v>1750</v>
      </c>
      <c r="B113" t="s">
        <v>19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35">
      <c r="A114">
        <v>1750</v>
      </c>
      <c r="B114" t="s">
        <v>45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35">
      <c r="A115">
        <v>1750</v>
      </c>
      <c r="B115" t="s">
        <v>85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35">
      <c r="A116">
        <v>1750</v>
      </c>
      <c r="B116" t="s">
        <v>54</v>
      </c>
      <c r="C116" t="s">
        <v>53</v>
      </c>
      <c r="D116" t="s">
        <v>35</v>
      </c>
      <c r="H116">
        <v>9</v>
      </c>
      <c r="J116">
        <f t="shared" si="2"/>
        <v>9</v>
      </c>
      <c r="L116">
        <f t="shared" si="3"/>
        <v>4.0178571428571425E-3</v>
      </c>
    </row>
    <row r="117" spans="1:12" x14ac:dyDescent="0.35">
      <c r="A117">
        <v>1750</v>
      </c>
      <c r="B117" t="s">
        <v>95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35">
      <c r="A118">
        <v>1750</v>
      </c>
      <c r="B118" t="s">
        <v>20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35">
      <c r="A119">
        <v>1750</v>
      </c>
      <c r="B119" t="s">
        <v>21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35">
      <c r="A120">
        <v>1750</v>
      </c>
      <c r="B120" t="s">
        <v>105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35">
      <c r="A121">
        <v>1750</v>
      </c>
      <c r="B121" t="s">
        <v>22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35">
      <c r="A122">
        <v>1750</v>
      </c>
      <c r="B122" t="s">
        <v>61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35">
      <c r="A123">
        <v>1750</v>
      </c>
      <c r="B123" t="s">
        <v>146</v>
      </c>
      <c r="C123" t="s">
        <v>53</v>
      </c>
      <c r="D123" t="s">
        <v>35</v>
      </c>
      <c r="F123">
        <v>2</v>
      </c>
      <c r="J123">
        <f t="shared" si="2"/>
        <v>224</v>
      </c>
      <c r="L123">
        <f t="shared" si="3"/>
        <v>0.1</v>
      </c>
    </row>
    <row r="124" spans="1:12" x14ac:dyDescent="0.35">
      <c r="A124">
        <v>1750</v>
      </c>
      <c r="B124" t="s">
        <v>98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35">
      <c r="A125">
        <v>1750</v>
      </c>
      <c r="B125" t="s">
        <v>87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35">
      <c r="A126">
        <v>1750</v>
      </c>
      <c r="B126" t="s">
        <v>62</v>
      </c>
      <c r="C126" t="s">
        <v>53</v>
      </c>
      <c r="D126" t="s">
        <v>35</v>
      </c>
      <c r="E126">
        <v>40</v>
      </c>
      <c r="J126">
        <f t="shared" si="2"/>
        <v>89600</v>
      </c>
      <c r="L126">
        <f t="shared" si="3"/>
        <v>40</v>
      </c>
    </row>
    <row r="127" spans="1:12" x14ac:dyDescent="0.35">
      <c r="A127">
        <v>1750</v>
      </c>
      <c r="B127" t="s">
        <v>88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35">
      <c r="A128">
        <v>1750</v>
      </c>
      <c r="B128" t="s">
        <v>63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35">
      <c r="A129">
        <v>1750</v>
      </c>
      <c r="B129" t="s">
        <v>89</v>
      </c>
      <c r="C129" t="s">
        <v>53</v>
      </c>
      <c r="D129" t="s">
        <v>35</v>
      </c>
      <c r="G129">
        <v>101</v>
      </c>
      <c r="J129">
        <f t="shared" si="2"/>
        <v>2828</v>
      </c>
      <c r="L129">
        <f t="shared" si="3"/>
        <v>1.2625</v>
      </c>
    </row>
    <row r="130" spans="1:12" x14ac:dyDescent="0.35">
      <c r="A130">
        <v>1750</v>
      </c>
      <c r="B130" t="s">
        <v>70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35">
      <c r="A131">
        <v>1750</v>
      </c>
      <c r="B131" t="s">
        <v>64</v>
      </c>
      <c r="C131" t="s">
        <v>53</v>
      </c>
      <c r="D131" t="s">
        <v>35</v>
      </c>
      <c r="E131">
        <v>8</v>
      </c>
      <c r="J131">
        <f t="shared" si="2"/>
        <v>17920</v>
      </c>
      <c r="L131">
        <f t="shared" si="3"/>
        <v>8</v>
      </c>
    </row>
    <row r="132" spans="1:12" x14ac:dyDescent="0.35">
      <c r="A132">
        <v>1750</v>
      </c>
      <c r="B132" t="s">
        <v>65</v>
      </c>
      <c r="C132" t="s">
        <v>53</v>
      </c>
      <c r="D132" t="s">
        <v>35</v>
      </c>
      <c r="J132">
        <f t="shared" si="2"/>
        <v>0</v>
      </c>
      <c r="L132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workbookViewId="0">
      <selection activeCell="H85" sqref="H85"/>
    </sheetView>
  </sheetViews>
  <sheetFormatPr defaultRowHeight="14.5" x14ac:dyDescent="0.35"/>
  <cols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2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35">
      <c r="A2">
        <v>1750</v>
      </c>
      <c r="B2" t="s">
        <v>55</v>
      </c>
      <c r="C2" t="s">
        <v>56</v>
      </c>
      <c r="D2" t="s">
        <v>33</v>
      </c>
      <c r="J2">
        <f t="shared" ref="J2:J69" si="0">(E2*2240)+(F2*112)+(G2*28)+H2</f>
        <v>0</v>
      </c>
      <c r="L2">
        <f t="shared" ref="L2:L69" si="1">J2/2240</f>
        <v>0</v>
      </c>
    </row>
    <row r="3" spans="1:12" x14ac:dyDescent="0.35">
      <c r="A3">
        <v>1750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35">
      <c r="A4">
        <v>1750</v>
      </c>
      <c r="B4" t="s">
        <v>36</v>
      </c>
      <c r="C4" t="s">
        <v>56</v>
      </c>
      <c r="D4" t="s">
        <v>33</v>
      </c>
      <c r="H4">
        <v>8767</v>
      </c>
      <c r="J4">
        <f t="shared" si="0"/>
        <v>8767</v>
      </c>
      <c r="L4">
        <f t="shared" si="1"/>
        <v>3.9138392857142859</v>
      </c>
    </row>
    <row r="5" spans="1:12" x14ac:dyDescent="0.35">
      <c r="A5">
        <v>1750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35">
      <c r="A6">
        <v>1750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35">
      <c r="A7">
        <v>1750</v>
      </c>
      <c r="B7" t="s">
        <v>92</v>
      </c>
      <c r="C7" t="s">
        <v>56</v>
      </c>
      <c r="D7" t="s">
        <v>33</v>
      </c>
      <c r="H7">
        <v>5090</v>
      </c>
      <c r="J7">
        <f t="shared" si="0"/>
        <v>5090</v>
      </c>
      <c r="L7">
        <f t="shared" si="1"/>
        <v>2.2723214285714284</v>
      </c>
    </row>
    <row r="8" spans="1:12" x14ac:dyDescent="0.35">
      <c r="A8">
        <v>1750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35">
      <c r="A9">
        <v>1750</v>
      </c>
      <c r="B9" t="s">
        <v>5</v>
      </c>
      <c r="C9" t="s">
        <v>56</v>
      </c>
      <c r="D9" t="s">
        <v>33</v>
      </c>
      <c r="F9">
        <v>12</v>
      </c>
      <c r="J9">
        <f t="shared" si="0"/>
        <v>1344</v>
      </c>
      <c r="L9">
        <f t="shared" si="1"/>
        <v>0.6</v>
      </c>
    </row>
    <row r="10" spans="1:12" x14ac:dyDescent="0.35">
      <c r="A10">
        <v>1750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35">
      <c r="A11">
        <v>1750</v>
      </c>
      <c r="B11" t="s">
        <v>6</v>
      </c>
      <c r="C11" t="s">
        <v>56</v>
      </c>
      <c r="D11" t="s">
        <v>33</v>
      </c>
      <c r="F11">
        <v>79612</v>
      </c>
      <c r="G11">
        <v>1</v>
      </c>
      <c r="H11">
        <v>3</v>
      </c>
      <c r="J11">
        <f t="shared" si="0"/>
        <v>8916575</v>
      </c>
      <c r="L11">
        <f t="shared" si="1"/>
        <v>3980.6138392857142</v>
      </c>
    </row>
    <row r="12" spans="1:12" x14ac:dyDescent="0.35">
      <c r="A12">
        <v>1750</v>
      </c>
      <c r="B12" t="s">
        <v>60</v>
      </c>
      <c r="C12" t="s">
        <v>56</v>
      </c>
      <c r="D12" t="s">
        <v>33</v>
      </c>
      <c r="H12">
        <v>1897</v>
      </c>
      <c r="J12">
        <f t="shared" si="0"/>
        <v>1897</v>
      </c>
      <c r="L12">
        <f t="shared" si="1"/>
        <v>0.84687500000000004</v>
      </c>
    </row>
    <row r="13" spans="1:12" x14ac:dyDescent="0.35">
      <c r="A13">
        <v>1750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35">
      <c r="A14">
        <v>1750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35">
      <c r="A15">
        <v>1750</v>
      </c>
      <c r="B15" t="s">
        <v>8</v>
      </c>
      <c r="C15" t="s">
        <v>56</v>
      </c>
      <c r="D15" t="s">
        <v>33</v>
      </c>
      <c r="F15">
        <v>175</v>
      </c>
      <c r="G15">
        <v>3</v>
      </c>
      <c r="J15">
        <f t="shared" si="0"/>
        <v>19684</v>
      </c>
      <c r="L15">
        <f t="shared" si="1"/>
        <v>8.7874999999999996</v>
      </c>
    </row>
    <row r="16" spans="1:12" x14ac:dyDescent="0.35">
      <c r="A16">
        <v>1750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77</v>
      </c>
      <c r="C17" t="s">
        <v>56</v>
      </c>
      <c r="D17" t="s">
        <v>33</v>
      </c>
      <c r="H17">
        <v>26.5</v>
      </c>
      <c r="J17">
        <f t="shared" si="0"/>
        <v>26.5</v>
      </c>
      <c r="L17">
        <f t="shared" si="1"/>
        <v>1.1830357142857142E-2</v>
      </c>
    </row>
    <row r="18" spans="1:12" x14ac:dyDescent="0.35">
      <c r="A18">
        <v>1750</v>
      </c>
      <c r="B18" t="s">
        <v>78</v>
      </c>
      <c r="C18" t="s">
        <v>56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9</v>
      </c>
      <c r="C19" t="s">
        <v>56</v>
      </c>
      <c r="D19" t="s">
        <v>33</v>
      </c>
      <c r="H19">
        <f>302.75*200</f>
        <v>60550</v>
      </c>
      <c r="I19" t="s">
        <v>120</v>
      </c>
      <c r="J19">
        <f t="shared" si="0"/>
        <v>60550</v>
      </c>
      <c r="L19">
        <f t="shared" si="1"/>
        <v>27.03125</v>
      </c>
    </row>
    <row r="20" spans="1:12" x14ac:dyDescent="0.35">
      <c r="A20">
        <v>1750</v>
      </c>
      <c r="B20" t="s">
        <v>10</v>
      </c>
      <c r="C20" t="s">
        <v>56</v>
      </c>
      <c r="D20" t="s">
        <v>33</v>
      </c>
      <c r="F20">
        <v>3736</v>
      </c>
      <c r="G20">
        <v>3</v>
      </c>
      <c r="H20">
        <v>24</v>
      </c>
      <c r="J20">
        <f t="shared" si="0"/>
        <v>418540</v>
      </c>
      <c r="L20">
        <f t="shared" si="1"/>
        <v>186.84821428571428</v>
      </c>
    </row>
    <row r="21" spans="1:12" x14ac:dyDescent="0.35">
      <c r="A21">
        <v>1750</v>
      </c>
      <c r="B21" t="s">
        <v>11</v>
      </c>
      <c r="C21" t="s">
        <v>56</v>
      </c>
      <c r="D21" t="s">
        <v>33</v>
      </c>
      <c r="F21">
        <v>36</v>
      </c>
      <c r="G21">
        <v>2</v>
      </c>
      <c r="J21">
        <f t="shared" si="0"/>
        <v>4088</v>
      </c>
      <c r="L21">
        <f t="shared" si="1"/>
        <v>1.825</v>
      </c>
    </row>
    <row r="22" spans="1:12" x14ac:dyDescent="0.35">
      <c r="A22">
        <v>1750</v>
      </c>
      <c r="B22" t="s">
        <v>39</v>
      </c>
      <c r="C22" t="s">
        <v>56</v>
      </c>
      <c r="D22" t="s">
        <v>33</v>
      </c>
      <c r="H22">
        <v>1144</v>
      </c>
      <c r="J22">
        <f t="shared" si="0"/>
        <v>1144</v>
      </c>
      <c r="L22">
        <f t="shared" si="1"/>
        <v>0.51071428571428568</v>
      </c>
    </row>
    <row r="23" spans="1:12" x14ac:dyDescent="0.35">
      <c r="A23">
        <v>1750</v>
      </c>
      <c r="B23" t="s">
        <v>102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35">
      <c r="A24">
        <v>1750</v>
      </c>
      <c r="B24" t="s">
        <v>44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12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35">
      <c r="A26">
        <v>1750</v>
      </c>
      <c r="B26" t="s">
        <v>34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35">
      <c r="A27">
        <v>1750</v>
      </c>
      <c r="B27" t="s">
        <v>13</v>
      </c>
      <c r="C27" t="s">
        <v>56</v>
      </c>
      <c r="D27" t="s">
        <v>33</v>
      </c>
      <c r="E27">
        <v>11</v>
      </c>
      <c r="J27">
        <f t="shared" si="0"/>
        <v>24640</v>
      </c>
      <c r="L27">
        <f t="shared" si="1"/>
        <v>11</v>
      </c>
    </row>
    <row r="28" spans="1:12" x14ac:dyDescent="0.35">
      <c r="A28">
        <v>1750</v>
      </c>
      <c r="B28" t="s">
        <v>14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23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27</v>
      </c>
      <c r="C30" t="s">
        <v>56</v>
      </c>
      <c r="D30" t="s">
        <v>33</v>
      </c>
      <c r="H30">
        <v>144757</v>
      </c>
      <c r="I30" t="s">
        <v>118</v>
      </c>
      <c r="J30">
        <f t="shared" si="0"/>
        <v>144757</v>
      </c>
      <c r="L30">
        <f t="shared" si="1"/>
        <v>64.62366071428572</v>
      </c>
    </row>
    <row r="31" spans="1:12" x14ac:dyDescent="0.35">
      <c r="A31">
        <v>1750</v>
      </c>
      <c r="B31" t="s">
        <v>15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42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35">
      <c r="A33">
        <v>1750</v>
      </c>
      <c r="B33" t="s">
        <v>47</v>
      </c>
      <c r="C33" t="s">
        <v>56</v>
      </c>
      <c r="D33" t="s">
        <v>33</v>
      </c>
      <c r="H33">
        <v>385</v>
      </c>
      <c r="I33" t="s">
        <v>116</v>
      </c>
      <c r="J33">
        <f t="shared" si="0"/>
        <v>385</v>
      </c>
      <c r="L33">
        <f t="shared" si="1"/>
        <v>0.171875</v>
      </c>
    </row>
    <row r="34" spans="1:12" x14ac:dyDescent="0.35">
      <c r="A34">
        <v>1750</v>
      </c>
      <c r="B34" t="s">
        <v>16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113</v>
      </c>
      <c r="C35" t="s">
        <v>56</v>
      </c>
      <c r="D35" t="s">
        <v>33</v>
      </c>
      <c r="H35">
        <v>32838.5</v>
      </c>
      <c r="I35" t="s">
        <v>119</v>
      </c>
      <c r="J35">
        <f t="shared" si="0"/>
        <v>32838.5</v>
      </c>
      <c r="L35">
        <f t="shared" si="1"/>
        <v>14.660044642857143</v>
      </c>
    </row>
    <row r="36" spans="1:12" x14ac:dyDescent="0.35">
      <c r="A36">
        <v>1750</v>
      </c>
      <c r="B36" t="s">
        <v>17</v>
      </c>
      <c r="C36" t="s">
        <v>56</v>
      </c>
      <c r="D36" t="s">
        <v>33</v>
      </c>
      <c r="F36">
        <v>24</v>
      </c>
      <c r="G36">
        <v>3</v>
      </c>
      <c r="H36">
        <v>7</v>
      </c>
      <c r="J36">
        <f t="shared" si="0"/>
        <v>2779</v>
      </c>
      <c r="L36">
        <f t="shared" si="1"/>
        <v>1.2406250000000001</v>
      </c>
    </row>
    <row r="37" spans="1:12" x14ac:dyDescent="0.35">
      <c r="A37">
        <v>1750</v>
      </c>
      <c r="B37" t="s">
        <v>18</v>
      </c>
      <c r="C37" t="s">
        <v>56</v>
      </c>
      <c r="D37" t="s">
        <v>33</v>
      </c>
      <c r="H37">
        <v>146395</v>
      </c>
      <c r="I37" t="s">
        <v>117</v>
      </c>
      <c r="J37">
        <f t="shared" si="0"/>
        <v>146395</v>
      </c>
      <c r="L37">
        <f t="shared" si="1"/>
        <v>65.354910714285708</v>
      </c>
    </row>
    <row r="38" spans="1:12" x14ac:dyDescent="0.35">
      <c r="A38">
        <v>1750</v>
      </c>
      <c r="B38" t="s">
        <v>26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35">
      <c r="A39">
        <v>1750</v>
      </c>
      <c r="B39" t="s">
        <v>19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45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35">
      <c r="A41">
        <v>1750</v>
      </c>
      <c r="B41" t="s">
        <v>54</v>
      </c>
      <c r="C41" t="s">
        <v>56</v>
      </c>
      <c r="D41" t="s">
        <v>33</v>
      </c>
      <c r="H41">
        <v>1858</v>
      </c>
      <c r="J41">
        <f t="shared" si="0"/>
        <v>1858</v>
      </c>
      <c r="L41">
        <f t="shared" si="1"/>
        <v>0.82946428571428577</v>
      </c>
    </row>
    <row r="42" spans="1:12" x14ac:dyDescent="0.35">
      <c r="A42">
        <v>1750</v>
      </c>
      <c r="B42" t="s">
        <v>95</v>
      </c>
      <c r="C42" t="s">
        <v>56</v>
      </c>
      <c r="D42" t="s">
        <v>33</v>
      </c>
      <c r="H42">
        <v>4110</v>
      </c>
      <c r="J42">
        <f t="shared" si="0"/>
        <v>4110</v>
      </c>
      <c r="L42">
        <f t="shared" si="1"/>
        <v>1.8348214285714286</v>
      </c>
    </row>
    <row r="43" spans="1:12" x14ac:dyDescent="0.35">
      <c r="A43">
        <v>1750</v>
      </c>
      <c r="B43" t="s">
        <v>20</v>
      </c>
      <c r="C43" t="s">
        <v>56</v>
      </c>
      <c r="D43" t="s">
        <v>33</v>
      </c>
      <c r="H43">
        <v>2917</v>
      </c>
      <c r="J43">
        <f t="shared" si="0"/>
        <v>2917</v>
      </c>
      <c r="L43">
        <f t="shared" si="1"/>
        <v>1.3022321428571428</v>
      </c>
    </row>
    <row r="44" spans="1:12" x14ac:dyDescent="0.35">
      <c r="A44">
        <v>1750</v>
      </c>
      <c r="B44" t="s">
        <v>21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35">
      <c r="A45">
        <v>1750</v>
      </c>
      <c r="B45" t="s">
        <v>22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35">
      <c r="A46">
        <v>1750</v>
      </c>
      <c r="B46" t="s">
        <v>61</v>
      </c>
      <c r="C46" t="s">
        <v>56</v>
      </c>
      <c r="D46" t="s">
        <v>33</v>
      </c>
      <c r="E46">
        <v>4</v>
      </c>
      <c r="J46">
        <f t="shared" si="0"/>
        <v>8960</v>
      </c>
      <c r="L46">
        <f t="shared" si="1"/>
        <v>4</v>
      </c>
    </row>
    <row r="47" spans="1:12" x14ac:dyDescent="0.35">
      <c r="A47">
        <v>1750</v>
      </c>
      <c r="B47" t="s">
        <v>62</v>
      </c>
      <c r="C47" t="s">
        <v>56</v>
      </c>
      <c r="D47" t="s">
        <v>33</v>
      </c>
      <c r="E47">
        <v>31</v>
      </c>
      <c r="J47">
        <f t="shared" si="0"/>
        <v>69440</v>
      </c>
      <c r="L47">
        <f t="shared" si="1"/>
        <v>31</v>
      </c>
    </row>
    <row r="48" spans="1:12" x14ac:dyDescent="0.35">
      <c r="A48">
        <v>1750</v>
      </c>
      <c r="B48" t="s">
        <v>63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89</v>
      </c>
      <c r="C49" t="s">
        <v>56</v>
      </c>
      <c r="D49" t="s">
        <v>33</v>
      </c>
      <c r="E49">
        <v>20</v>
      </c>
      <c r="F49">
        <v>10</v>
      </c>
      <c r="J49">
        <f t="shared" si="0"/>
        <v>45920</v>
      </c>
      <c r="L49">
        <f t="shared" si="1"/>
        <v>20.5</v>
      </c>
    </row>
    <row r="50" spans="1:12" x14ac:dyDescent="0.35">
      <c r="A50">
        <v>1750</v>
      </c>
      <c r="B50" t="s">
        <v>70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35">
      <c r="A51">
        <v>1750</v>
      </c>
      <c r="B51" t="s">
        <v>64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65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35">
      <c r="A53">
        <v>1750</v>
      </c>
      <c r="B53" t="s">
        <v>55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35">
      <c r="A54">
        <v>1750</v>
      </c>
      <c r="B54" t="s">
        <v>57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36</v>
      </c>
      <c r="C55" t="s">
        <v>56</v>
      </c>
      <c r="D55" t="s">
        <v>35</v>
      </c>
      <c r="H55">
        <v>8</v>
      </c>
      <c r="J55">
        <f t="shared" si="0"/>
        <v>8</v>
      </c>
      <c r="L55">
        <f t="shared" si="1"/>
        <v>3.5714285714285713E-3</v>
      </c>
    </row>
    <row r="56" spans="1:12" x14ac:dyDescent="0.35">
      <c r="A56">
        <v>1750</v>
      </c>
      <c r="B56" t="s">
        <v>4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35">
      <c r="A57">
        <v>1750</v>
      </c>
      <c r="B57" t="s">
        <v>58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35">
      <c r="A58">
        <v>1750</v>
      </c>
      <c r="B58" t="s">
        <v>92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35">
      <c r="A59">
        <v>1750</v>
      </c>
      <c r="B59" t="s">
        <v>43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35">
      <c r="A60">
        <v>1750</v>
      </c>
      <c r="B60" t="s">
        <v>5</v>
      </c>
      <c r="C60" t="s">
        <v>56</v>
      </c>
      <c r="D60" t="s">
        <v>35</v>
      </c>
      <c r="F60">
        <v>17</v>
      </c>
      <c r="G60">
        <v>2</v>
      </c>
      <c r="J60">
        <f t="shared" si="0"/>
        <v>1960</v>
      </c>
      <c r="L60">
        <f t="shared" si="1"/>
        <v>0.875</v>
      </c>
    </row>
    <row r="61" spans="1:12" x14ac:dyDescent="0.35">
      <c r="A61">
        <v>1750</v>
      </c>
      <c r="B61" t="s">
        <v>59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35">
      <c r="A62">
        <v>1750</v>
      </c>
      <c r="B62" t="s">
        <v>6</v>
      </c>
      <c r="C62" t="s">
        <v>56</v>
      </c>
      <c r="D62" t="s">
        <v>35</v>
      </c>
      <c r="F62">
        <v>57932</v>
      </c>
      <c r="G62">
        <v>3</v>
      </c>
      <c r="H62">
        <v>14</v>
      </c>
      <c r="J62">
        <f t="shared" si="0"/>
        <v>6488482</v>
      </c>
      <c r="L62">
        <f t="shared" si="1"/>
        <v>2896.6437500000002</v>
      </c>
    </row>
    <row r="63" spans="1:12" x14ac:dyDescent="0.35">
      <c r="A63">
        <v>1750</v>
      </c>
      <c r="B63" t="s">
        <v>60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38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35">
      <c r="A65">
        <v>1750</v>
      </c>
      <c r="B65" t="s">
        <v>37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35">
      <c r="A66">
        <v>1750</v>
      </c>
      <c r="B66" t="s">
        <v>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35">
      <c r="A67">
        <v>1750</v>
      </c>
      <c r="B67" t="s">
        <v>40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35">
      <c r="A68">
        <v>1750</v>
      </c>
      <c r="B68" t="s">
        <v>9</v>
      </c>
      <c r="C68" t="s">
        <v>56</v>
      </c>
      <c r="D68" t="s">
        <v>35</v>
      </c>
      <c r="H68">
        <f>932.75*200</f>
        <v>186550</v>
      </c>
      <c r="I68" t="s">
        <v>150</v>
      </c>
      <c r="J68">
        <f t="shared" si="0"/>
        <v>186550</v>
      </c>
      <c r="L68">
        <f t="shared" si="1"/>
        <v>83.28125</v>
      </c>
    </row>
    <row r="69" spans="1:12" x14ac:dyDescent="0.35">
      <c r="A69">
        <v>1750</v>
      </c>
      <c r="B69" t="s">
        <v>10</v>
      </c>
      <c r="C69" t="s">
        <v>56</v>
      </c>
      <c r="D69" t="s">
        <v>35</v>
      </c>
      <c r="F69">
        <v>1510</v>
      </c>
      <c r="J69">
        <f t="shared" si="0"/>
        <v>169120</v>
      </c>
      <c r="L69">
        <f t="shared" si="1"/>
        <v>75.5</v>
      </c>
    </row>
    <row r="70" spans="1:12" x14ac:dyDescent="0.35">
      <c r="A70">
        <v>1750</v>
      </c>
      <c r="B70" t="s">
        <v>11</v>
      </c>
      <c r="C70" t="s">
        <v>56</v>
      </c>
      <c r="D70" t="s">
        <v>35</v>
      </c>
      <c r="F70">
        <v>284</v>
      </c>
      <c r="G70">
        <v>1</v>
      </c>
      <c r="J70">
        <f t="shared" ref="J70:J103" si="2">(E70*2240)+(F70*112)+(G70*28)+H70</f>
        <v>31836</v>
      </c>
      <c r="L70">
        <f t="shared" ref="L70:L103" si="3">J70/2240</f>
        <v>14.2125</v>
      </c>
    </row>
    <row r="71" spans="1:12" x14ac:dyDescent="0.35">
      <c r="A71">
        <v>1750</v>
      </c>
      <c r="B71" t="s">
        <v>39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35">
      <c r="A72">
        <v>1750</v>
      </c>
      <c r="B72" t="s">
        <v>79</v>
      </c>
      <c r="C72" t="s">
        <v>56</v>
      </c>
      <c r="D72" t="s">
        <v>35</v>
      </c>
      <c r="F72">
        <v>4</v>
      </c>
      <c r="J72">
        <f t="shared" si="2"/>
        <v>448</v>
      </c>
      <c r="L72">
        <f t="shared" si="3"/>
        <v>0.2</v>
      </c>
    </row>
    <row r="73" spans="1:12" x14ac:dyDescent="0.35">
      <c r="A73">
        <v>1750</v>
      </c>
      <c r="B73" t="s">
        <v>44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12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35">
      <c r="A75">
        <v>1750</v>
      </c>
      <c r="B75" t="s">
        <v>34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13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14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35">
      <c r="A78">
        <v>1750</v>
      </c>
      <c r="B78" t="s">
        <v>23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27</v>
      </c>
      <c r="C79" t="s">
        <v>56</v>
      </c>
      <c r="D79" t="s">
        <v>35</v>
      </c>
      <c r="H79">
        <v>56574.5</v>
      </c>
      <c r="I79" t="s">
        <v>149</v>
      </c>
      <c r="J79">
        <f t="shared" si="2"/>
        <v>56574.5</v>
      </c>
      <c r="L79">
        <f t="shared" si="3"/>
        <v>25.256473214285716</v>
      </c>
    </row>
    <row r="80" spans="1:12" x14ac:dyDescent="0.35">
      <c r="A80">
        <v>1750</v>
      </c>
      <c r="B80" t="s">
        <v>15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93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42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47</v>
      </c>
      <c r="C83" t="s">
        <v>56</v>
      </c>
      <c r="D83" t="s">
        <v>35</v>
      </c>
      <c r="H83">
        <v>25</v>
      </c>
      <c r="I83" t="s">
        <v>148</v>
      </c>
      <c r="J83">
        <f t="shared" si="2"/>
        <v>25</v>
      </c>
      <c r="L83">
        <f t="shared" si="3"/>
        <v>1.1160714285714286E-2</v>
      </c>
    </row>
    <row r="84" spans="1:12" x14ac:dyDescent="0.35">
      <c r="A84">
        <v>1750</v>
      </c>
      <c r="B84" t="s">
        <v>16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106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35">
      <c r="A86">
        <v>1750</v>
      </c>
      <c r="B86" t="s">
        <v>17</v>
      </c>
      <c r="C86" t="s">
        <v>56</v>
      </c>
      <c r="D86" t="s">
        <v>35</v>
      </c>
      <c r="F86">
        <v>337</v>
      </c>
      <c r="G86">
        <v>2</v>
      </c>
      <c r="H86">
        <v>14</v>
      </c>
      <c r="J86">
        <f t="shared" si="2"/>
        <v>37814</v>
      </c>
      <c r="L86">
        <f t="shared" si="3"/>
        <v>16.881250000000001</v>
      </c>
    </row>
    <row r="87" spans="1:12" x14ac:dyDescent="0.35">
      <c r="A87">
        <v>1750</v>
      </c>
      <c r="B87" t="s">
        <v>18</v>
      </c>
      <c r="C87" t="s">
        <v>56</v>
      </c>
      <c r="D87" t="s">
        <v>35</v>
      </c>
      <c r="I87">
        <v>20886</v>
      </c>
      <c r="J87">
        <f t="shared" si="2"/>
        <v>0</v>
      </c>
      <c r="L87">
        <f t="shared" si="3"/>
        <v>0</v>
      </c>
    </row>
    <row r="88" spans="1:12" x14ac:dyDescent="0.35">
      <c r="A88">
        <v>1750</v>
      </c>
      <c r="B88" t="s">
        <v>26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35">
      <c r="A89">
        <v>1750</v>
      </c>
      <c r="B89" t="s">
        <v>19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35">
      <c r="A90">
        <v>1750</v>
      </c>
      <c r="B90" t="s">
        <v>45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35">
      <c r="A91">
        <v>1750</v>
      </c>
      <c r="B91" t="s">
        <v>54</v>
      </c>
      <c r="C91" t="s">
        <v>56</v>
      </c>
      <c r="D91" t="s">
        <v>35</v>
      </c>
      <c r="H91">
        <v>219</v>
      </c>
      <c r="J91">
        <f t="shared" si="2"/>
        <v>219</v>
      </c>
      <c r="L91">
        <f t="shared" si="3"/>
        <v>9.7767857142857142E-2</v>
      </c>
    </row>
    <row r="92" spans="1:12" x14ac:dyDescent="0.35">
      <c r="A92">
        <v>1750</v>
      </c>
      <c r="B92" t="s">
        <v>95</v>
      </c>
      <c r="C92" t="s">
        <v>56</v>
      </c>
      <c r="D92" t="s">
        <v>35</v>
      </c>
      <c r="H92">
        <v>941</v>
      </c>
      <c r="J92">
        <f t="shared" si="2"/>
        <v>941</v>
      </c>
      <c r="L92">
        <f t="shared" si="3"/>
        <v>0.42008928571428572</v>
      </c>
    </row>
    <row r="93" spans="1:12" x14ac:dyDescent="0.35">
      <c r="A93">
        <v>1750</v>
      </c>
      <c r="B93" t="s">
        <v>20</v>
      </c>
      <c r="C93" t="s">
        <v>56</v>
      </c>
      <c r="D93" t="s">
        <v>35</v>
      </c>
      <c r="H93">
        <v>48558</v>
      </c>
      <c r="J93">
        <f t="shared" si="2"/>
        <v>48558</v>
      </c>
      <c r="L93">
        <f t="shared" si="3"/>
        <v>21.677678571428572</v>
      </c>
    </row>
    <row r="94" spans="1:12" x14ac:dyDescent="0.35">
      <c r="A94">
        <v>1750</v>
      </c>
      <c r="B94" t="s">
        <v>21</v>
      </c>
      <c r="C94" t="s">
        <v>56</v>
      </c>
      <c r="D94" t="s">
        <v>35</v>
      </c>
      <c r="H94">
        <v>450</v>
      </c>
      <c r="J94">
        <f t="shared" si="2"/>
        <v>450</v>
      </c>
      <c r="L94">
        <f t="shared" si="3"/>
        <v>0.20089285714285715</v>
      </c>
    </row>
    <row r="95" spans="1:12" x14ac:dyDescent="0.35">
      <c r="A95">
        <v>1750</v>
      </c>
      <c r="B95" t="s">
        <v>22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35">
      <c r="A96">
        <v>1750</v>
      </c>
      <c r="B96" t="s">
        <v>61</v>
      </c>
      <c r="C96" t="s">
        <v>56</v>
      </c>
      <c r="D96" t="s">
        <v>35</v>
      </c>
      <c r="E96">
        <v>11</v>
      </c>
      <c r="F96">
        <v>1</v>
      </c>
      <c r="G96">
        <v>1</v>
      </c>
      <c r="J96">
        <f t="shared" si="2"/>
        <v>24780</v>
      </c>
      <c r="L96">
        <f t="shared" si="3"/>
        <v>11.0625</v>
      </c>
    </row>
    <row r="97" spans="1:12" x14ac:dyDescent="0.35">
      <c r="A97">
        <v>1750</v>
      </c>
      <c r="B97" t="s">
        <v>146</v>
      </c>
      <c r="C97" t="s">
        <v>56</v>
      </c>
      <c r="D97" t="s">
        <v>35</v>
      </c>
      <c r="E97">
        <v>11</v>
      </c>
      <c r="F97">
        <v>4</v>
      </c>
      <c r="G97">
        <v>1</v>
      </c>
      <c r="H97">
        <v>16</v>
      </c>
      <c r="J97">
        <f t="shared" si="2"/>
        <v>25132</v>
      </c>
      <c r="L97">
        <f t="shared" si="3"/>
        <v>11.219642857142857</v>
      </c>
    </row>
    <row r="98" spans="1:12" x14ac:dyDescent="0.35">
      <c r="A98">
        <v>1750</v>
      </c>
      <c r="B98" t="s">
        <v>62</v>
      </c>
      <c r="C98" t="s">
        <v>56</v>
      </c>
      <c r="D98" t="s">
        <v>35</v>
      </c>
      <c r="E98">
        <v>35</v>
      </c>
      <c r="F98">
        <v>12</v>
      </c>
      <c r="G98">
        <v>1</v>
      </c>
      <c r="H98">
        <v>20</v>
      </c>
      <c r="J98">
        <f t="shared" si="2"/>
        <v>79792</v>
      </c>
      <c r="L98">
        <f t="shared" si="3"/>
        <v>35.621428571428574</v>
      </c>
    </row>
    <row r="99" spans="1:12" x14ac:dyDescent="0.35">
      <c r="A99">
        <v>1750</v>
      </c>
      <c r="B99" t="s">
        <v>63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35">
      <c r="A100">
        <v>1750</v>
      </c>
      <c r="B100" t="s">
        <v>89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70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35">
      <c r="A102">
        <v>1750</v>
      </c>
      <c r="B102" t="s">
        <v>64</v>
      </c>
      <c r="C102" t="s">
        <v>56</v>
      </c>
      <c r="D102" t="s">
        <v>35</v>
      </c>
      <c r="E102">
        <v>1</v>
      </c>
      <c r="F102">
        <v>14</v>
      </c>
      <c r="H102">
        <v>1</v>
      </c>
      <c r="J102">
        <f t="shared" si="2"/>
        <v>3809</v>
      </c>
      <c r="L102">
        <f t="shared" si="3"/>
        <v>1.7004464285714285</v>
      </c>
    </row>
    <row r="103" spans="1:12" x14ac:dyDescent="0.35">
      <c r="A103">
        <v>1750</v>
      </c>
      <c r="B103" t="s">
        <v>65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0"/>
  <sheetViews>
    <sheetView workbookViewId="0">
      <selection activeCell="H14" sqref="H14"/>
    </sheetView>
  </sheetViews>
  <sheetFormatPr defaultRowHeight="14.5" x14ac:dyDescent="0.35"/>
  <cols>
    <col min="2" max="3" width="17.08984375" customWidth="1"/>
    <col min="4" max="4" width="13.6328125" customWidth="1"/>
    <col min="7" max="7" width="12.36328125" customWidth="1"/>
    <col min="8" max="8" width="13.90625" customWidth="1"/>
  </cols>
  <sheetData>
    <row r="1" spans="1:12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35">
      <c r="A2">
        <v>1750</v>
      </c>
      <c r="B2" s="2" t="s">
        <v>5</v>
      </c>
      <c r="C2" s="2" t="s">
        <v>67</v>
      </c>
      <c r="D2" s="2" t="s">
        <v>33</v>
      </c>
      <c r="E2" s="2"/>
      <c r="F2" s="2">
        <v>2</v>
      </c>
      <c r="G2" s="2">
        <v>2</v>
      </c>
      <c r="H2" s="2">
        <v>18</v>
      </c>
      <c r="I2" s="2"/>
      <c r="J2">
        <f t="shared" ref="J2:J30" si="0">(E2*2240)+(F2*112)+(G2*28)+H2</f>
        <v>298</v>
      </c>
      <c r="K2" s="1"/>
      <c r="L2">
        <f t="shared" ref="L2:L30" si="1">J2/2240</f>
        <v>0.13303571428571428</v>
      </c>
    </row>
    <row r="3" spans="1:12" x14ac:dyDescent="0.35">
      <c r="A3">
        <v>1750</v>
      </c>
      <c r="B3" t="s">
        <v>66</v>
      </c>
      <c r="C3" t="s">
        <v>67</v>
      </c>
      <c r="D3" t="s">
        <v>33</v>
      </c>
      <c r="J3">
        <f t="shared" si="0"/>
        <v>0</v>
      </c>
      <c r="L3">
        <f t="shared" si="1"/>
        <v>0</v>
      </c>
    </row>
    <row r="4" spans="1:12" x14ac:dyDescent="0.35">
      <c r="A4">
        <v>1750</v>
      </c>
      <c r="B4" t="s">
        <v>6</v>
      </c>
      <c r="C4" t="s">
        <v>67</v>
      </c>
      <c r="D4" t="s">
        <v>33</v>
      </c>
      <c r="E4" s="1"/>
      <c r="I4" s="1"/>
      <c r="J4">
        <f t="shared" si="0"/>
        <v>0</v>
      </c>
      <c r="K4" s="1"/>
      <c r="L4">
        <f t="shared" si="1"/>
        <v>0</v>
      </c>
    </row>
    <row r="5" spans="1:12" x14ac:dyDescent="0.35">
      <c r="A5">
        <v>1750</v>
      </c>
      <c r="B5" t="s">
        <v>8</v>
      </c>
      <c r="C5" t="s">
        <v>67</v>
      </c>
      <c r="D5" t="s">
        <v>33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35">
      <c r="A6">
        <v>1750</v>
      </c>
      <c r="B6" t="s">
        <v>46</v>
      </c>
      <c r="C6" t="s">
        <v>67</v>
      </c>
      <c r="D6" t="s">
        <v>33</v>
      </c>
      <c r="E6" s="1"/>
      <c r="F6" s="1"/>
      <c r="G6" s="1"/>
      <c r="H6">
        <v>435</v>
      </c>
      <c r="I6" s="1"/>
      <c r="J6">
        <f t="shared" ref="J6" si="2">(E6*2240)+(F6*112)+(G6*28)+H6</f>
        <v>435</v>
      </c>
      <c r="K6" s="1"/>
      <c r="L6">
        <f t="shared" ref="L6" si="3">J6/2240</f>
        <v>0.19419642857142858</v>
      </c>
    </row>
    <row r="7" spans="1:12" x14ac:dyDescent="0.35">
      <c r="A7">
        <v>1750</v>
      </c>
      <c r="B7" t="s">
        <v>9</v>
      </c>
      <c r="C7" t="s">
        <v>67</v>
      </c>
      <c r="D7" t="s">
        <v>33</v>
      </c>
      <c r="H7">
        <v>100</v>
      </c>
      <c r="J7">
        <f t="shared" si="0"/>
        <v>100</v>
      </c>
      <c r="L7">
        <f t="shared" si="1"/>
        <v>4.4642857142857144E-2</v>
      </c>
    </row>
    <row r="8" spans="1:12" x14ac:dyDescent="0.35">
      <c r="A8">
        <v>1750</v>
      </c>
      <c r="B8" t="s">
        <v>11</v>
      </c>
      <c r="C8" t="s">
        <v>67</v>
      </c>
      <c r="D8" t="s">
        <v>33</v>
      </c>
      <c r="G8">
        <v>2</v>
      </c>
      <c r="H8">
        <v>12</v>
      </c>
      <c r="J8">
        <f t="shared" si="0"/>
        <v>68</v>
      </c>
      <c r="L8">
        <f t="shared" si="1"/>
        <v>3.0357142857142857E-2</v>
      </c>
    </row>
    <row r="9" spans="1:12" x14ac:dyDescent="0.35">
      <c r="A9">
        <v>1750</v>
      </c>
      <c r="B9" t="s">
        <v>12</v>
      </c>
      <c r="C9" t="s">
        <v>67</v>
      </c>
      <c r="D9" t="s">
        <v>33</v>
      </c>
      <c r="H9">
        <v>6180</v>
      </c>
      <c r="J9">
        <f t="shared" si="0"/>
        <v>6180</v>
      </c>
      <c r="L9">
        <f t="shared" si="1"/>
        <v>2.7589285714285716</v>
      </c>
    </row>
    <row r="10" spans="1:12" x14ac:dyDescent="0.35">
      <c r="A10">
        <v>1750</v>
      </c>
      <c r="B10" t="s">
        <v>27</v>
      </c>
      <c r="C10" t="s">
        <v>67</v>
      </c>
      <c r="D10" t="s">
        <v>33</v>
      </c>
      <c r="H10">
        <v>1170.5</v>
      </c>
      <c r="I10" t="s">
        <v>122</v>
      </c>
      <c r="J10">
        <f t="shared" si="0"/>
        <v>1170.5</v>
      </c>
      <c r="K10" s="1"/>
      <c r="L10">
        <f t="shared" si="1"/>
        <v>0.52254464285714286</v>
      </c>
    </row>
    <row r="11" spans="1:12" x14ac:dyDescent="0.35">
      <c r="A11">
        <v>1750</v>
      </c>
      <c r="B11" t="s">
        <v>15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35">
      <c r="A12">
        <v>1750</v>
      </c>
      <c r="B12" t="s">
        <v>17</v>
      </c>
      <c r="C12" t="s">
        <v>67</v>
      </c>
      <c r="D12" t="s">
        <v>33</v>
      </c>
      <c r="J12">
        <f t="shared" si="0"/>
        <v>0</v>
      </c>
      <c r="K12" s="1"/>
      <c r="L12">
        <f t="shared" si="1"/>
        <v>0</v>
      </c>
    </row>
    <row r="13" spans="1:12" x14ac:dyDescent="0.35">
      <c r="A13">
        <v>1750</v>
      </c>
      <c r="B13" t="s">
        <v>18</v>
      </c>
      <c r="C13" t="s">
        <v>67</v>
      </c>
      <c r="D13" t="s">
        <v>33</v>
      </c>
      <c r="H13">
        <v>1020.5</v>
      </c>
      <c r="I13" t="s">
        <v>121</v>
      </c>
      <c r="J13">
        <f t="shared" si="0"/>
        <v>1020.5</v>
      </c>
      <c r="L13">
        <f t="shared" si="1"/>
        <v>0.45558035714285716</v>
      </c>
    </row>
    <row r="14" spans="1:12" x14ac:dyDescent="0.35">
      <c r="A14">
        <v>1750</v>
      </c>
      <c r="B14" t="s">
        <v>19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35">
      <c r="A15">
        <v>1750</v>
      </c>
      <c r="B15" t="s">
        <v>21</v>
      </c>
      <c r="C15" t="s">
        <v>67</v>
      </c>
      <c r="D15" t="s">
        <v>33</v>
      </c>
      <c r="H15">
        <v>186</v>
      </c>
      <c r="J15">
        <f t="shared" si="0"/>
        <v>186</v>
      </c>
      <c r="L15">
        <f t="shared" si="1"/>
        <v>8.3035714285714282E-2</v>
      </c>
    </row>
    <row r="16" spans="1:12" x14ac:dyDescent="0.35">
      <c r="A16">
        <v>1750</v>
      </c>
      <c r="B16" t="s">
        <v>90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61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35">
      <c r="A18">
        <v>1750</v>
      </c>
      <c r="B18" t="s">
        <v>62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63</v>
      </c>
      <c r="C19" t="s">
        <v>67</v>
      </c>
      <c r="D19" t="s">
        <v>33</v>
      </c>
      <c r="E19">
        <v>90</v>
      </c>
      <c r="J19">
        <f t="shared" si="0"/>
        <v>201600</v>
      </c>
      <c r="L19">
        <f t="shared" si="1"/>
        <v>90</v>
      </c>
    </row>
    <row r="20" spans="1:12" x14ac:dyDescent="0.35">
      <c r="A20">
        <v>1750</v>
      </c>
      <c r="B20" t="s">
        <v>6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12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35">
      <c r="A22">
        <v>1750</v>
      </c>
      <c r="B22" t="s">
        <v>41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35">
      <c r="A23">
        <v>1750</v>
      </c>
      <c r="B23" t="s">
        <v>27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35">
      <c r="A24">
        <v>1750</v>
      </c>
      <c r="B24" t="s">
        <v>17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19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35">
      <c r="A26">
        <v>1750</v>
      </c>
      <c r="B26" t="s">
        <v>54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35">
      <c r="A27">
        <v>1750</v>
      </c>
      <c r="B27" t="s">
        <v>9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35">
      <c r="A28">
        <v>1750</v>
      </c>
      <c r="B28" t="s">
        <v>8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61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63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88" zoomScaleNormal="100" workbookViewId="0">
      <selection activeCell="H111" sqref="H111"/>
    </sheetView>
  </sheetViews>
  <sheetFormatPr defaultRowHeight="14.5" x14ac:dyDescent="0.35"/>
  <cols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2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35">
      <c r="A2">
        <v>1750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35">
      <c r="A3">
        <v>1750</v>
      </c>
      <c r="B3" t="s">
        <v>57</v>
      </c>
      <c r="C3" t="s">
        <v>68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35">
      <c r="A4">
        <v>1750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35">
      <c r="A5">
        <v>1750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35">
      <c r="A6">
        <v>1750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35">
      <c r="A7">
        <v>1750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35">
      <c r="A8">
        <v>1750</v>
      </c>
      <c r="B8" t="s">
        <v>123</v>
      </c>
      <c r="C8" t="s">
        <v>68</v>
      </c>
      <c r="D8" t="s">
        <v>33</v>
      </c>
      <c r="H8">
        <v>797</v>
      </c>
      <c r="J8">
        <f t="shared" si="0"/>
        <v>797</v>
      </c>
      <c r="L8">
        <f t="shared" si="1"/>
        <v>0.35580357142857144</v>
      </c>
    </row>
    <row r="9" spans="1:12" x14ac:dyDescent="0.35">
      <c r="A9">
        <v>1750</v>
      </c>
      <c r="B9" t="s">
        <v>101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35">
      <c r="A10">
        <v>1750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35">
      <c r="A11">
        <v>1750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35">
      <c r="A12">
        <v>1750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35">
      <c r="A13">
        <v>1750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35">
      <c r="A14">
        <v>1750</v>
      </c>
      <c r="B14" t="s">
        <v>6</v>
      </c>
      <c r="C14" t="s">
        <v>68</v>
      </c>
      <c r="D14" t="s">
        <v>33</v>
      </c>
      <c r="F14">
        <v>248606</v>
      </c>
      <c r="G14">
        <v>1</v>
      </c>
      <c r="J14">
        <f t="shared" si="0"/>
        <v>27843900</v>
      </c>
      <c r="L14">
        <f t="shared" si="1"/>
        <v>12430.3125</v>
      </c>
    </row>
    <row r="15" spans="1:12" x14ac:dyDescent="0.35">
      <c r="A15">
        <v>1750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35">
      <c r="A16">
        <v>1750</v>
      </c>
      <c r="B16" t="s">
        <v>60</v>
      </c>
      <c r="C16" t="s">
        <v>68</v>
      </c>
      <c r="D16" t="s">
        <v>33</v>
      </c>
      <c r="H16">
        <v>266</v>
      </c>
      <c r="J16">
        <f t="shared" si="0"/>
        <v>266</v>
      </c>
      <c r="L16">
        <f t="shared" si="1"/>
        <v>0.11874999999999999</v>
      </c>
    </row>
    <row r="17" spans="1:12" x14ac:dyDescent="0.35">
      <c r="A17">
        <v>1750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35">
      <c r="A18">
        <v>1750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8</v>
      </c>
      <c r="C19" t="s">
        <v>68</v>
      </c>
      <c r="D19" t="s">
        <v>33</v>
      </c>
      <c r="F19">
        <v>638</v>
      </c>
      <c r="G19">
        <v>2</v>
      </c>
      <c r="J19">
        <f t="shared" si="0"/>
        <v>71512</v>
      </c>
      <c r="L19">
        <f t="shared" si="1"/>
        <v>31.925000000000001</v>
      </c>
    </row>
    <row r="20" spans="1:12" x14ac:dyDescent="0.35">
      <c r="A20">
        <v>1750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77</v>
      </c>
      <c r="C21" t="s">
        <v>68</v>
      </c>
      <c r="D21" t="s">
        <v>33</v>
      </c>
      <c r="F21">
        <v>254</v>
      </c>
      <c r="G21">
        <v>1</v>
      </c>
      <c r="H21">
        <v>14</v>
      </c>
      <c r="J21">
        <f t="shared" si="0"/>
        <v>28490</v>
      </c>
      <c r="L21">
        <f t="shared" si="1"/>
        <v>12.71875</v>
      </c>
    </row>
    <row r="22" spans="1:12" x14ac:dyDescent="0.35">
      <c r="A22">
        <v>1750</v>
      </c>
      <c r="B22" t="s">
        <v>78</v>
      </c>
      <c r="C22" t="s">
        <v>68</v>
      </c>
      <c r="D22" t="s">
        <v>33</v>
      </c>
      <c r="H22">
        <v>19239</v>
      </c>
      <c r="J22">
        <f t="shared" si="0"/>
        <v>19239</v>
      </c>
      <c r="L22">
        <f t="shared" si="1"/>
        <v>8.5888392857142861</v>
      </c>
    </row>
    <row r="23" spans="1:12" x14ac:dyDescent="0.35">
      <c r="A23">
        <v>1750</v>
      </c>
      <c r="B23" t="s">
        <v>46</v>
      </c>
      <c r="C23" t="s">
        <v>68</v>
      </c>
      <c r="D23" t="s">
        <v>33</v>
      </c>
      <c r="H23">
        <v>478</v>
      </c>
      <c r="J23">
        <f t="shared" si="0"/>
        <v>478</v>
      </c>
      <c r="L23">
        <f t="shared" si="1"/>
        <v>0.21339285714285713</v>
      </c>
    </row>
    <row r="24" spans="1:12" x14ac:dyDescent="0.35">
      <c r="A24">
        <v>1750</v>
      </c>
      <c r="B24" t="s">
        <v>9</v>
      </c>
      <c r="C24" t="s">
        <v>68</v>
      </c>
      <c r="D24" t="s">
        <v>33</v>
      </c>
      <c r="H24">
        <f>749*200</f>
        <v>149800</v>
      </c>
      <c r="I24" t="s">
        <v>129</v>
      </c>
      <c r="J24">
        <f t="shared" si="0"/>
        <v>149800</v>
      </c>
      <c r="L24">
        <f t="shared" si="1"/>
        <v>66.875</v>
      </c>
    </row>
    <row r="25" spans="1:12" x14ac:dyDescent="0.35">
      <c r="A25">
        <v>1750</v>
      </c>
      <c r="B25" t="s">
        <v>10</v>
      </c>
      <c r="C25" t="s">
        <v>68</v>
      </c>
      <c r="D25" t="s">
        <v>33</v>
      </c>
      <c r="F25">
        <v>3449</v>
      </c>
      <c r="G25">
        <v>2</v>
      </c>
      <c r="H25">
        <v>16</v>
      </c>
      <c r="J25">
        <f t="shared" si="0"/>
        <v>386360</v>
      </c>
      <c r="L25">
        <f t="shared" si="1"/>
        <v>172.48214285714286</v>
      </c>
    </row>
    <row r="26" spans="1:12" x14ac:dyDescent="0.35">
      <c r="A26">
        <v>1750</v>
      </c>
      <c r="B26" t="s">
        <v>11</v>
      </c>
      <c r="C26" t="s">
        <v>68</v>
      </c>
      <c r="D26" t="s">
        <v>33</v>
      </c>
      <c r="F26">
        <v>136</v>
      </c>
      <c r="G26">
        <v>3</v>
      </c>
      <c r="H26">
        <v>14</v>
      </c>
      <c r="J26">
        <f t="shared" si="0"/>
        <v>15330</v>
      </c>
      <c r="L26">
        <f t="shared" si="1"/>
        <v>6.84375</v>
      </c>
    </row>
    <row r="27" spans="1:12" x14ac:dyDescent="0.35">
      <c r="A27">
        <v>1750</v>
      </c>
      <c r="B27" t="s">
        <v>39</v>
      </c>
      <c r="C27" t="s">
        <v>68</v>
      </c>
      <c r="D27" t="s">
        <v>33</v>
      </c>
      <c r="H27">
        <v>411</v>
      </c>
      <c r="J27">
        <f t="shared" si="0"/>
        <v>411</v>
      </c>
      <c r="L27">
        <f t="shared" si="1"/>
        <v>0.18348214285714284</v>
      </c>
    </row>
    <row r="28" spans="1:12" x14ac:dyDescent="0.35">
      <c r="A28">
        <v>1750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103</v>
      </c>
      <c r="C29" t="s">
        <v>68</v>
      </c>
      <c r="D29" t="s">
        <v>33</v>
      </c>
      <c r="H29">
        <v>734</v>
      </c>
      <c r="J29">
        <f t="shared" si="0"/>
        <v>734</v>
      </c>
      <c r="L29">
        <f t="shared" si="1"/>
        <v>0.32767857142857143</v>
      </c>
    </row>
    <row r="30" spans="1:12" x14ac:dyDescent="0.35">
      <c r="A30">
        <v>1750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35">
      <c r="A31">
        <v>1750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12</v>
      </c>
      <c r="C32" t="s">
        <v>68</v>
      </c>
      <c r="D32" t="s">
        <v>33</v>
      </c>
      <c r="H32">
        <v>2845</v>
      </c>
      <c r="J32">
        <f t="shared" si="0"/>
        <v>2845</v>
      </c>
      <c r="L32">
        <f t="shared" si="1"/>
        <v>1.2700892857142858</v>
      </c>
    </row>
    <row r="33" spans="1:12" x14ac:dyDescent="0.35">
      <c r="A33">
        <v>1750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35">
      <c r="A34">
        <v>1750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13</v>
      </c>
      <c r="C35" t="s">
        <v>68</v>
      </c>
      <c r="D35" t="s">
        <v>33</v>
      </c>
      <c r="E35">
        <v>53</v>
      </c>
      <c r="J35">
        <f t="shared" si="0"/>
        <v>118720</v>
      </c>
      <c r="L35">
        <f t="shared" si="1"/>
        <v>53</v>
      </c>
    </row>
    <row r="36" spans="1:12" x14ac:dyDescent="0.35">
      <c r="A36">
        <v>1750</v>
      </c>
      <c r="B36" t="s">
        <v>14</v>
      </c>
      <c r="C36" t="s">
        <v>68</v>
      </c>
      <c r="D36" t="s">
        <v>33</v>
      </c>
      <c r="H36">
        <v>60</v>
      </c>
      <c r="I36" t="s">
        <v>124</v>
      </c>
      <c r="J36">
        <f t="shared" si="0"/>
        <v>60</v>
      </c>
      <c r="L36">
        <f t="shared" si="1"/>
        <v>2.6785714285714284E-2</v>
      </c>
    </row>
    <row r="37" spans="1:12" x14ac:dyDescent="0.35">
      <c r="A37">
        <v>1750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27</v>
      </c>
      <c r="C38" t="s">
        <v>68</v>
      </c>
      <c r="D38" t="s">
        <v>33</v>
      </c>
      <c r="H38">
        <v>84271.5</v>
      </c>
      <c r="I38" t="s">
        <v>127</v>
      </c>
      <c r="J38">
        <f t="shared" si="0"/>
        <v>84271.5</v>
      </c>
      <c r="L38">
        <f t="shared" si="1"/>
        <v>37.621205357142856</v>
      </c>
    </row>
    <row r="39" spans="1:12" x14ac:dyDescent="0.35">
      <c r="A39">
        <v>1750</v>
      </c>
      <c r="B39" t="s">
        <v>15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35">
      <c r="A41">
        <v>1750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47</v>
      </c>
      <c r="C42" t="s">
        <v>68</v>
      </c>
      <c r="D42" t="s">
        <v>33</v>
      </c>
      <c r="H42">
        <v>160</v>
      </c>
      <c r="I42" t="s">
        <v>125</v>
      </c>
      <c r="J42">
        <f t="shared" si="0"/>
        <v>160</v>
      </c>
      <c r="L42">
        <f t="shared" si="1"/>
        <v>7.1428571428571425E-2</v>
      </c>
    </row>
    <row r="43" spans="1:12" x14ac:dyDescent="0.35">
      <c r="A43">
        <v>1750</v>
      </c>
      <c r="B43" t="s">
        <v>16</v>
      </c>
      <c r="C43" t="s">
        <v>68</v>
      </c>
      <c r="D43" t="s">
        <v>33</v>
      </c>
      <c r="H43">
        <v>416914</v>
      </c>
      <c r="J43">
        <f t="shared" si="0"/>
        <v>416914</v>
      </c>
      <c r="L43">
        <f t="shared" si="1"/>
        <v>186.12232142857144</v>
      </c>
    </row>
    <row r="44" spans="1:12" x14ac:dyDescent="0.35">
      <c r="A44">
        <v>1750</v>
      </c>
      <c r="B44" t="s">
        <v>113</v>
      </c>
      <c r="C44" t="s">
        <v>68</v>
      </c>
      <c r="D44" t="s">
        <v>33</v>
      </c>
      <c r="H44">
        <v>4561</v>
      </c>
      <c r="I44" t="s">
        <v>128</v>
      </c>
      <c r="J44">
        <f t="shared" si="0"/>
        <v>4561</v>
      </c>
      <c r="L44">
        <f t="shared" si="1"/>
        <v>2.0361607142857143</v>
      </c>
    </row>
    <row r="45" spans="1:12" x14ac:dyDescent="0.35">
      <c r="A45">
        <v>1750</v>
      </c>
      <c r="B45" t="s">
        <v>17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35">
      <c r="A46">
        <v>1750</v>
      </c>
      <c r="B46" t="s">
        <v>18</v>
      </c>
      <c r="C46" t="s">
        <v>68</v>
      </c>
      <c r="D46" t="s">
        <v>33</v>
      </c>
      <c r="H46">
        <v>5233504</v>
      </c>
      <c r="I46" t="s">
        <v>126</v>
      </c>
      <c r="J46">
        <f t="shared" si="0"/>
        <v>5233504</v>
      </c>
      <c r="L46">
        <f t="shared" si="1"/>
        <v>2336.3857142857141</v>
      </c>
    </row>
    <row r="47" spans="1:12" x14ac:dyDescent="0.35">
      <c r="A47">
        <v>1750</v>
      </c>
      <c r="B47" t="s">
        <v>26</v>
      </c>
      <c r="C47" t="s">
        <v>68</v>
      </c>
      <c r="D47" t="s">
        <v>33</v>
      </c>
      <c r="H47">
        <v>6502</v>
      </c>
      <c r="J47">
        <f t="shared" si="0"/>
        <v>6502</v>
      </c>
      <c r="L47">
        <f t="shared" si="1"/>
        <v>2.9026785714285714</v>
      </c>
    </row>
    <row r="48" spans="1:12" x14ac:dyDescent="0.35">
      <c r="A48">
        <v>1750</v>
      </c>
      <c r="B48" t="s">
        <v>84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19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35">
      <c r="A50">
        <v>1750</v>
      </c>
      <c r="B50" t="s">
        <v>45</v>
      </c>
      <c r="C50" t="s">
        <v>68</v>
      </c>
      <c r="D50" t="s">
        <v>33</v>
      </c>
      <c r="H50">
        <v>5193</v>
      </c>
      <c r="J50">
        <f t="shared" si="0"/>
        <v>5193</v>
      </c>
      <c r="L50">
        <f t="shared" si="1"/>
        <v>2.3183035714285714</v>
      </c>
    </row>
    <row r="51" spans="1:12" x14ac:dyDescent="0.35">
      <c r="A51">
        <v>1750</v>
      </c>
      <c r="B51" t="s">
        <v>85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54</v>
      </c>
      <c r="C52" t="s">
        <v>68</v>
      </c>
      <c r="D52" t="s">
        <v>33</v>
      </c>
      <c r="H52">
        <v>1933</v>
      </c>
      <c r="J52">
        <f t="shared" si="0"/>
        <v>1933</v>
      </c>
      <c r="L52">
        <f t="shared" si="1"/>
        <v>0.86294642857142856</v>
      </c>
    </row>
    <row r="53" spans="1:12" x14ac:dyDescent="0.35">
      <c r="A53">
        <v>1750</v>
      </c>
      <c r="B53" t="s">
        <v>95</v>
      </c>
      <c r="C53" t="s">
        <v>68</v>
      </c>
      <c r="D53" t="s">
        <v>33</v>
      </c>
      <c r="H53">
        <v>4577</v>
      </c>
      <c r="J53">
        <f t="shared" si="0"/>
        <v>4577</v>
      </c>
      <c r="L53">
        <f t="shared" si="1"/>
        <v>2.0433035714285714</v>
      </c>
    </row>
    <row r="54" spans="1:12" x14ac:dyDescent="0.35">
      <c r="A54">
        <v>1750</v>
      </c>
      <c r="B54" t="s">
        <v>20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21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35">
      <c r="A56">
        <v>1750</v>
      </c>
      <c r="B56" t="s">
        <v>90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35">
      <c r="A57">
        <v>1750</v>
      </c>
      <c r="B57" t="s">
        <v>22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35">
      <c r="A58">
        <v>1750</v>
      </c>
      <c r="B58" t="s">
        <v>61</v>
      </c>
      <c r="C58" t="s">
        <v>68</v>
      </c>
      <c r="D58" t="s">
        <v>33</v>
      </c>
      <c r="E58">
        <v>4</v>
      </c>
      <c r="F58">
        <v>4</v>
      </c>
      <c r="J58">
        <f t="shared" si="0"/>
        <v>9408</v>
      </c>
      <c r="L58">
        <f t="shared" si="1"/>
        <v>4.2</v>
      </c>
    </row>
    <row r="59" spans="1:12" x14ac:dyDescent="0.35">
      <c r="A59">
        <v>1750</v>
      </c>
      <c r="B59" t="s">
        <v>98</v>
      </c>
      <c r="C59" t="s">
        <v>68</v>
      </c>
      <c r="D59" t="s">
        <v>33</v>
      </c>
      <c r="E59">
        <v>4</v>
      </c>
      <c r="J59">
        <f t="shared" si="0"/>
        <v>8960</v>
      </c>
      <c r="L59">
        <f t="shared" si="1"/>
        <v>4</v>
      </c>
    </row>
    <row r="60" spans="1:12" x14ac:dyDescent="0.35">
      <c r="A60">
        <v>1750</v>
      </c>
      <c r="B60" t="s">
        <v>87</v>
      </c>
      <c r="C60" t="s">
        <v>68</v>
      </c>
      <c r="D60" t="s">
        <v>33</v>
      </c>
      <c r="E60">
        <v>4</v>
      </c>
      <c r="J60">
        <f t="shared" si="0"/>
        <v>8960</v>
      </c>
      <c r="L60">
        <f t="shared" si="1"/>
        <v>4</v>
      </c>
    </row>
    <row r="61" spans="1:12" x14ac:dyDescent="0.35">
      <c r="A61">
        <v>1750</v>
      </c>
      <c r="B61" t="s">
        <v>62</v>
      </c>
      <c r="C61" t="s">
        <v>68</v>
      </c>
      <c r="D61" t="s">
        <v>33</v>
      </c>
      <c r="E61">
        <v>539</v>
      </c>
      <c r="F61">
        <v>19</v>
      </c>
      <c r="G61">
        <v>2</v>
      </c>
      <c r="J61">
        <f t="shared" si="0"/>
        <v>1209544</v>
      </c>
      <c r="L61">
        <f t="shared" si="1"/>
        <v>539.97500000000002</v>
      </c>
    </row>
    <row r="62" spans="1:12" x14ac:dyDescent="0.35">
      <c r="A62">
        <v>1750</v>
      </c>
      <c r="B62" t="s">
        <v>88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35">
      <c r="A63">
        <v>1750</v>
      </c>
      <c r="B63" t="s">
        <v>63</v>
      </c>
      <c r="C63" t="s">
        <v>68</v>
      </c>
      <c r="D63" t="s">
        <v>33</v>
      </c>
      <c r="E63">
        <v>1671</v>
      </c>
      <c r="F63">
        <v>18</v>
      </c>
      <c r="G63">
        <v>1</v>
      </c>
      <c r="H63">
        <v>22</v>
      </c>
      <c r="J63">
        <f t="shared" si="0"/>
        <v>3745106</v>
      </c>
      <c r="L63">
        <f t="shared" si="1"/>
        <v>1671.9223214285714</v>
      </c>
    </row>
    <row r="64" spans="1:12" x14ac:dyDescent="0.35">
      <c r="A64">
        <v>1750</v>
      </c>
      <c r="B64" t="s">
        <v>89</v>
      </c>
      <c r="C64" t="s">
        <v>68</v>
      </c>
      <c r="D64" t="s">
        <v>33</v>
      </c>
      <c r="E64">
        <v>631</v>
      </c>
      <c r="F64">
        <v>8</v>
      </c>
      <c r="J64">
        <f t="shared" si="0"/>
        <v>1414336</v>
      </c>
      <c r="L64">
        <f t="shared" si="1"/>
        <v>631.4</v>
      </c>
    </row>
    <row r="65" spans="1:12" x14ac:dyDescent="0.35">
      <c r="A65">
        <v>1750</v>
      </c>
      <c r="B65" t="s">
        <v>70</v>
      </c>
      <c r="C65" t="s">
        <v>68</v>
      </c>
      <c r="D65" t="s">
        <v>33</v>
      </c>
      <c r="E65">
        <v>179</v>
      </c>
      <c r="F65">
        <v>3</v>
      </c>
      <c r="G65">
        <v>2</v>
      </c>
      <c r="J65">
        <f t="shared" si="0"/>
        <v>401352</v>
      </c>
      <c r="L65">
        <f t="shared" si="1"/>
        <v>179.17500000000001</v>
      </c>
    </row>
    <row r="66" spans="1:12" x14ac:dyDescent="0.35">
      <c r="A66">
        <v>1750</v>
      </c>
      <c r="B66" t="s">
        <v>64</v>
      </c>
      <c r="C66" t="s">
        <v>68</v>
      </c>
      <c r="D66" t="s">
        <v>33</v>
      </c>
      <c r="E66">
        <v>3</v>
      </c>
      <c r="J66">
        <f t="shared" si="0"/>
        <v>6720</v>
      </c>
      <c r="L66">
        <f t="shared" si="1"/>
        <v>3</v>
      </c>
    </row>
    <row r="67" spans="1:12" x14ac:dyDescent="0.35">
      <c r="A67">
        <v>1750</v>
      </c>
      <c r="B67" t="s">
        <v>65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35">
      <c r="A68">
        <v>1750</v>
      </c>
      <c r="B68" t="s">
        <v>55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35">
      <c r="A69">
        <v>1750</v>
      </c>
      <c r="B69" t="s">
        <v>57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35">
      <c r="A70">
        <v>1750</v>
      </c>
      <c r="B70" t="s">
        <v>36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35">
      <c r="A71">
        <v>1750</v>
      </c>
      <c r="B71" t="s">
        <v>4</v>
      </c>
      <c r="C71" t="s">
        <v>68</v>
      </c>
      <c r="D71" t="s">
        <v>35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35">
      <c r="A72">
        <v>1750</v>
      </c>
      <c r="B72" t="s">
        <v>58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35">
      <c r="A73">
        <v>1750</v>
      </c>
      <c r="B73" t="s">
        <v>69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101</v>
      </c>
      <c r="C74" t="s">
        <v>68</v>
      </c>
      <c r="D74" t="s">
        <v>35</v>
      </c>
      <c r="H74">
        <v>40</v>
      </c>
      <c r="J74">
        <f t="shared" si="2"/>
        <v>40</v>
      </c>
      <c r="L74">
        <f t="shared" si="3"/>
        <v>1.7857142857142856E-2</v>
      </c>
    </row>
    <row r="75" spans="1:12" x14ac:dyDescent="0.35">
      <c r="A75">
        <v>1750</v>
      </c>
      <c r="B75" t="s">
        <v>43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76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5</v>
      </c>
      <c r="C77" t="s">
        <v>68</v>
      </c>
      <c r="D77" t="s">
        <v>35</v>
      </c>
      <c r="F77">
        <v>1</v>
      </c>
      <c r="G77">
        <v>1</v>
      </c>
      <c r="H77">
        <v>7</v>
      </c>
      <c r="J77">
        <f t="shared" si="2"/>
        <v>147</v>
      </c>
      <c r="L77">
        <f t="shared" si="3"/>
        <v>6.5625000000000003E-2</v>
      </c>
    </row>
    <row r="78" spans="1:12" x14ac:dyDescent="0.35">
      <c r="A78">
        <v>1750</v>
      </c>
      <c r="B78" t="s">
        <v>59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6</v>
      </c>
      <c r="C79" t="s">
        <v>68</v>
      </c>
      <c r="D79" t="s">
        <v>35</v>
      </c>
      <c r="F79">
        <v>161133</v>
      </c>
      <c r="G79">
        <v>1</v>
      </c>
      <c r="H79">
        <v>19</v>
      </c>
      <c r="J79">
        <f t="shared" si="2"/>
        <v>18046943</v>
      </c>
      <c r="L79">
        <f t="shared" si="3"/>
        <v>8056.6709821428567</v>
      </c>
    </row>
    <row r="80" spans="1:12" x14ac:dyDescent="0.35">
      <c r="A80">
        <v>1750</v>
      </c>
      <c r="B80" t="s">
        <v>60</v>
      </c>
      <c r="C80" t="s">
        <v>68</v>
      </c>
      <c r="D80" t="s">
        <v>35</v>
      </c>
      <c r="H80">
        <v>33</v>
      </c>
      <c r="J80">
        <f t="shared" si="2"/>
        <v>33</v>
      </c>
      <c r="L80">
        <f t="shared" si="3"/>
        <v>1.4732142857142857E-2</v>
      </c>
    </row>
    <row r="81" spans="1:12" x14ac:dyDescent="0.35">
      <c r="A81">
        <v>1750</v>
      </c>
      <c r="B81" t="s">
        <v>38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37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8</v>
      </c>
      <c r="C83" t="s">
        <v>68</v>
      </c>
      <c r="D83" t="s">
        <v>35</v>
      </c>
      <c r="F83">
        <v>112</v>
      </c>
      <c r="G83">
        <v>3</v>
      </c>
      <c r="J83">
        <f t="shared" si="2"/>
        <v>12628</v>
      </c>
      <c r="L83">
        <f t="shared" si="3"/>
        <v>5.6375000000000002</v>
      </c>
    </row>
    <row r="84" spans="1:12" x14ac:dyDescent="0.35">
      <c r="A84">
        <v>1750</v>
      </c>
      <c r="B84" t="s">
        <v>40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77</v>
      </c>
      <c r="C85" t="s">
        <v>68</v>
      </c>
      <c r="D85" t="s">
        <v>35</v>
      </c>
      <c r="F85">
        <v>36</v>
      </c>
      <c r="H85">
        <v>7</v>
      </c>
      <c r="J85">
        <f t="shared" si="2"/>
        <v>4039</v>
      </c>
      <c r="L85">
        <f t="shared" si="3"/>
        <v>1.8031250000000001</v>
      </c>
    </row>
    <row r="86" spans="1:12" x14ac:dyDescent="0.35">
      <c r="A86">
        <v>1750</v>
      </c>
      <c r="B86" t="s">
        <v>78</v>
      </c>
      <c r="C86" t="s">
        <v>68</v>
      </c>
      <c r="D86" t="s">
        <v>35</v>
      </c>
      <c r="H86">
        <v>5432</v>
      </c>
      <c r="J86">
        <f t="shared" si="2"/>
        <v>5432</v>
      </c>
      <c r="L86">
        <f t="shared" si="3"/>
        <v>2.4249999999999998</v>
      </c>
    </row>
    <row r="87" spans="1:12" x14ac:dyDescent="0.35">
      <c r="A87">
        <v>1750</v>
      </c>
      <c r="B87" t="s">
        <v>46</v>
      </c>
      <c r="C87" t="s">
        <v>68</v>
      </c>
      <c r="D87" t="s">
        <v>35</v>
      </c>
      <c r="H87">
        <v>2500</v>
      </c>
      <c r="J87">
        <f t="shared" si="2"/>
        <v>2500</v>
      </c>
      <c r="L87">
        <f t="shared" si="3"/>
        <v>1.1160714285714286</v>
      </c>
    </row>
    <row r="88" spans="1:12" x14ac:dyDescent="0.35">
      <c r="A88">
        <v>1750</v>
      </c>
      <c r="B88" t="s">
        <v>9</v>
      </c>
      <c r="C88" t="s">
        <v>68</v>
      </c>
      <c r="D88" t="s">
        <v>35</v>
      </c>
      <c r="H88">
        <f>412.75*200</f>
        <v>82550</v>
      </c>
      <c r="I88" t="s">
        <v>154</v>
      </c>
      <c r="J88">
        <f t="shared" si="2"/>
        <v>82550</v>
      </c>
      <c r="L88">
        <f t="shared" si="3"/>
        <v>36.852678571428569</v>
      </c>
    </row>
    <row r="89" spans="1:12" x14ac:dyDescent="0.35">
      <c r="A89">
        <v>1750</v>
      </c>
      <c r="B89" t="s">
        <v>10</v>
      </c>
      <c r="C89" t="s">
        <v>68</v>
      </c>
      <c r="D89" t="s">
        <v>35</v>
      </c>
      <c r="F89">
        <v>4392</v>
      </c>
      <c r="G89">
        <v>2</v>
      </c>
      <c r="H89">
        <v>24</v>
      </c>
      <c r="J89">
        <f t="shared" si="2"/>
        <v>491984</v>
      </c>
      <c r="L89">
        <f t="shared" si="3"/>
        <v>219.63571428571427</v>
      </c>
    </row>
    <row r="90" spans="1:12" x14ac:dyDescent="0.35">
      <c r="A90">
        <v>1750</v>
      </c>
      <c r="B90" t="s">
        <v>11</v>
      </c>
      <c r="C90" t="s">
        <v>68</v>
      </c>
      <c r="D90" t="s">
        <v>35</v>
      </c>
      <c r="F90">
        <v>363</v>
      </c>
      <c r="G90">
        <v>3</v>
      </c>
      <c r="H90">
        <v>20</v>
      </c>
      <c r="J90">
        <f t="shared" si="2"/>
        <v>40760</v>
      </c>
      <c r="L90">
        <f t="shared" si="3"/>
        <v>18.196428571428573</v>
      </c>
    </row>
    <row r="91" spans="1:12" x14ac:dyDescent="0.35">
      <c r="A91">
        <v>1750</v>
      </c>
      <c r="B91" t="s">
        <v>39</v>
      </c>
      <c r="C91" t="s">
        <v>68</v>
      </c>
      <c r="D91" t="s">
        <v>35</v>
      </c>
      <c r="H91">
        <v>34</v>
      </c>
      <c r="J91">
        <f t="shared" si="2"/>
        <v>34</v>
      </c>
      <c r="L91">
        <f t="shared" si="3"/>
        <v>1.5178571428571428E-2</v>
      </c>
    </row>
    <row r="92" spans="1:12" x14ac:dyDescent="0.35">
      <c r="A92">
        <v>1750</v>
      </c>
      <c r="B92" t="s">
        <v>79</v>
      </c>
      <c r="C92" t="s">
        <v>68</v>
      </c>
      <c r="D92" t="s">
        <v>35</v>
      </c>
      <c r="H92">
        <v>30</v>
      </c>
      <c r="J92">
        <f t="shared" si="2"/>
        <v>30</v>
      </c>
      <c r="L92">
        <f t="shared" si="3"/>
        <v>1.3392857142857142E-2</v>
      </c>
    </row>
    <row r="93" spans="1:12" x14ac:dyDescent="0.35">
      <c r="A93">
        <v>1750</v>
      </c>
      <c r="B93" t="s">
        <v>103</v>
      </c>
      <c r="C93" t="s">
        <v>68</v>
      </c>
      <c r="D93" t="s">
        <v>35</v>
      </c>
      <c r="H93">
        <v>710</v>
      </c>
      <c r="J93">
        <f t="shared" si="2"/>
        <v>710</v>
      </c>
      <c r="L93">
        <f t="shared" si="3"/>
        <v>0.3169642857142857</v>
      </c>
    </row>
    <row r="94" spans="1:12" x14ac:dyDescent="0.35">
      <c r="A94">
        <v>1750</v>
      </c>
      <c r="B94" t="s">
        <v>44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35">
      <c r="A95">
        <v>1750</v>
      </c>
      <c r="B95" t="s">
        <v>97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35">
      <c r="A96">
        <v>1750</v>
      </c>
      <c r="B96" t="s">
        <v>12</v>
      </c>
      <c r="C96" t="s">
        <v>68</v>
      </c>
      <c r="D96" t="s">
        <v>35</v>
      </c>
      <c r="H96">
        <v>5615</v>
      </c>
      <c r="J96">
        <f t="shared" si="2"/>
        <v>5615</v>
      </c>
      <c r="L96">
        <f t="shared" si="3"/>
        <v>2.5066964285714284</v>
      </c>
    </row>
    <row r="97" spans="1:12" x14ac:dyDescent="0.35">
      <c r="A97">
        <v>1750</v>
      </c>
      <c r="B97" t="s">
        <v>82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35">
      <c r="A98">
        <v>1750</v>
      </c>
      <c r="B98" t="s">
        <v>34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35">
      <c r="A99">
        <v>1750</v>
      </c>
      <c r="B99" t="s">
        <v>13</v>
      </c>
      <c r="C99" t="s">
        <v>68</v>
      </c>
      <c r="D99" t="s">
        <v>35</v>
      </c>
      <c r="E99">
        <v>37</v>
      </c>
      <c r="F99">
        <v>14</v>
      </c>
      <c r="G99">
        <v>3</v>
      </c>
      <c r="J99">
        <f t="shared" si="2"/>
        <v>84532</v>
      </c>
      <c r="L99">
        <f t="shared" si="3"/>
        <v>37.737499999999997</v>
      </c>
    </row>
    <row r="100" spans="1:12" x14ac:dyDescent="0.35">
      <c r="A100">
        <v>1750</v>
      </c>
      <c r="B100" t="s">
        <v>14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23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35">
      <c r="A102">
        <v>1750</v>
      </c>
      <c r="B102" t="s">
        <v>27</v>
      </c>
      <c r="C102" t="s">
        <v>68</v>
      </c>
      <c r="D102" t="s">
        <v>35</v>
      </c>
      <c r="H102">
        <v>27787</v>
      </c>
      <c r="I102" t="s">
        <v>153</v>
      </c>
      <c r="J102">
        <f t="shared" si="2"/>
        <v>27787</v>
      </c>
      <c r="L102">
        <f t="shared" si="3"/>
        <v>12.404910714285714</v>
      </c>
    </row>
    <row r="103" spans="1:12" x14ac:dyDescent="0.35">
      <c r="A103">
        <v>1750</v>
      </c>
      <c r="B103" t="s">
        <v>15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35">
      <c r="A104">
        <v>1750</v>
      </c>
      <c r="B104" t="s">
        <v>93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35">
      <c r="A105">
        <v>1750</v>
      </c>
      <c r="B105" t="s">
        <v>42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35">
      <c r="A106">
        <v>1750</v>
      </c>
      <c r="B106" t="s">
        <v>83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35">
      <c r="A107">
        <v>1750</v>
      </c>
      <c r="B107" t="s">
        <v>47</v>
      </c>
      <c r="C107" t="s">
        <v>68</v>
      </c>
      <c r="D107" t="s">
        <v>35</v>
      </c>
      <c r="H107">
        <v>20</v>
      </c>
      <c r="I107" t="s">
        <v>151</v>
      </c>
      <c r="J107">
        <f t="shared" si="2"/>
        <v>20</v>
      </c>
      <c r="L107">
        <f t="shared" si="3"/>
        <v>8.9285714285714281E-3</v>
      </c>
    </row>
    <row r="108" spans="1:12" x14ac:dyDescent="0.35">
      <c r="A108">
        <v>1750</v>
      </c>
      <c r="B108" t="s">
        <v>16</v>
      </c>
      <c r="C108" t="s">
        <v>68</v>
      </c>
      <c r="D108" t="s">
        <v>35</v>
      </c>
      <c r="H108">
        <v>538190</v>
      </c>
      <c r="J108">
        <f t="shared" si="2"/>
        <v>538190</v>
      </c>
      <c r="L108">
        <f t="shared" si="3"/>
        <v>240.26339285714286</v>
      </c>
    </row>
    <row r="109" spans="1:12" x14ac:dyDescent="0.35">
      <c r="A109">
        <v>1750</v>
      </c>
      <c r="B109" t="s">
        <v>17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35">
      <c r="A110">
        <v>1750</v>
      </c>
      <c r="B110" t="s">
        <v>18</v>
      </c>
      <c r="C110" t="s">
        <v>68</v>
      </c>
      <c r="D110" t="s">
        <v>35</v>
      </c>
      <c r="H110">
        <v>1397339</v>
      </c>
      <c r="I110" t="s">
        <v>152</v>
      </c>
      <c r="J110">
        <f t="shared" si="2"/>
        <v>1397339</v>
      </c>
      <c r="L110">
        <f t="shared" si="3"/>
        <v>623.81205357142858</v>
      </c>
    </row>
    <row r="111" spans="1:12" x14ac:dyDescent="0.35">
      <c r="A111">
        <v>1750</v>
      </c>
      <c r="B111" t="s">
        <v>26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35">
      <c r="A112">
        <v>1750</v>
      </c>
      <c r="B112" t="s">
        <v>84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35">
      <c r="A113">
        <v>1750</v>
      </c>
      <c r="B113" t="s">
        <v>19</v>
      </c>
      <c r="C113" t="s">
        <v>68</v>
      </c>
      <c r="D113" t="s">
        <v>35</v>
      </c>
      <c r="F113">
        <v>63</v>
      </c>
      <c r="G113">
        <v>2</v>
      </c>
      <c r="J113">
        <f t="shared" si="2"/>
        <v>7112</v>
      </c>
      <c r="L113">
        <f t="shared" si="3"/>
        <v>3.1749999999999998</v>
      </c>
    </row>
    <row r="114" spans="1:12" x14ac:dyDescent="0.35">
      <c r="A114">
        <v>1750</v>
      </c>
      <c r="B114" t="s">
        <v>45</v>
      </c>
      <c r="C114" t="s">
        <v>68</v>
      </c>
      <c r="D114" t="s">
        <v>35</v>
      </c>
      <c r="H114">
        <v>577</v>
      </c>
      <c r="J114">
        <f t="shared" si="2"/>
        <v>577</v>
      </c>
      <c r="L114">
        <f t="shared" si="3"/>
        <v>0.25758928571428569</v>
      </c>
    </row>
    <row r="115" spans="1:12" x14ac:dyDescent="0.35">
      <c r="A115">
        <v>1750</v>
      </c>
      <c r="B115" t="s">
        <v>85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35">
      <c r="A116">
        <v>1750</v>
      </c>
      <c r="B116" t="s">
        <v>54</v>
      </c>
      <c r="C116" t="s">
        <v>68</v>
      </c>
      <c r="D116" t="s">
        <v>35</v>
      </c>
      <c r="H116">
        <v>378</v>
      </c>
      <c r="J116">
        <f t="shared" si="2"/>
        <v>378</v>
      </c>
      <c r="L116">
        <f t="shared" si="3"/>
        <v>0.16875000000000001</v>
      </c>
    </row>
    <row r="117" spans="1:12" x14ac:dyDescent="0.35">
      <c r="A117">
        <v>1750</v>
      </c>
      <c r="B117" t="s">
        <v>95</v>
      </c>
      <c r="C117" t="s">
        <v>68</v>
      </c>
      <c r="D117" t="s">
        <v>35</v>
      </c>
      <c r="H117">
        <v>959</v>
      </c>
      <c r="J117">
        <f t="shared" si="2"/>
        <v>959</v>
      </c>
      <c r="L117">
        <f t="shared" si="3"/>
        <v>0.42812499999999998</v>
      </c>
    </row>
    <row r="118" spans="1:12" x14ac:dyDescent="0.35">
      <c r="A118">
        <v>1750</v>
      </c>
      <c r="B118" t="s">
        <v>20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35">
      <c r="A119">
        <v>1750</v>
      </c>
      <c r="B119" t="s">
        <v>21</v>
      </c>
      <c r="C119" t="s">
        <v>68</v>
      </c>
      <c r="D119" t="s">
        <v>35</v>
      </c>
      <c r="H119">
        <v>1593</v>
      </c>
      <c r="J119">
        <f t="shared" si="2"/>
        <v>1593</v>
      </c>
      <c r="L119">
        <f t="shared" si="3"/>
        <v>0.71116071428571426</v>
      </c>
    </row>
    <row r="120" spans="1:12" x14ac:dyDescent="0.35">
      <c r="A120">
        <v>1750</v>
      </c>
      <c r="B120" t="s">
        <v>90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35">
      <c r="A121">
        <v>1750</v>
      </c>
      <c r="B121" t="s">
        <v>22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35">
      <c r="A122">
        <v>1750</v>
      </c>
      <c r="B122" t="s">
        <v>61</v>
      </c>
      <c r="C122" t="s">
        <v>68</v>
      </c>
      <c r="D122" t="s">
        <v>35</v>
      </c>
      <c r="E122">
        <v>13</v>
      </c>
      <c r="F122">
        <v>10</v>
      </c>
      <c r="G122">
        <v>1</v>
      </c>
      <c r="H122">
        <v>16</v>
      </c>
      <c r="J122">
        <f t="shared" si="2"/>
        <v>30284</v>
      </c>
      <c r="L122">
        <f t="shared" si="3"/>
        <v>13.519642857142857</v>
      </c>
    </row>
    <row r="123" spans="1:12" x14ac:dyDescent="0.35">
      <c r="A123">
        <v>1750</v>
      </c>
      <c r="B123" t="s">
        <v>146</v>
      </c>
      <c r="C123" t="s">
        <v>68</v>
      </c>
      <c r="D123" t="s">
        <v>35</v>
      </c>
      <c r="E123">
        <v>5</v>
      </c>
      <c r="F123">
        <v>13</v>
      </c>
      <c r="J123">
        <f t="shared" si="2"/>
        <v>12656</v>
      </c>
      <c r="L123">
        <f t="shared" si="3"/>
        <v>5.65</v>
      </c>
    </row>
    <row r="124" spans="1:12" x14ac:dyDescent="0.35">
      <c r="A124">
        <v>1750</v>
      </c>
      <c r="B124" t="s">
        <v>98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35">
      <c r="A125">
        <v>1750</v>
      </c>
      <c r="B125" t="s">
        <v>87</v>
      </c>
      <c r="C125" t="s">
        <v>68</v>
      </c>
      <c r="D125" t="s">
        <v>35</v>
      </c>
      <c r="E125">
        <v>20</v>
      </c>
      <c r="F125">
        <v>19</v>
      </c>
      <c r="G125">
        <v>1</v>
      </c>
      <c r="H125">
        <v>14</v>
      </c>
      <c r="J125">
        <f t="shared" si="2"/>
        <v>46970</v>
      </c>
      <c r="L125">
        <f t="shared" si="3"/>
        <v>20.96875</v>
      </c>
    </row>
    <row r="126" spans="1:12" x14ac:dyDescent="0.35">
      <c r="A126">
        <v>1750</v>
      </c>
      <c r="B126" t="s">
        <v>62</v>
      </c>
      <c r="C126" t="s">
        <v>68</v>
      </c>
      <c r="D126" t="s">
        <v>35</v>
      </c>
      <c r="E126">
        <v>553</v>
      </c>
      <c r="F126">
        <v>17</v>
      </c>
      <c r="G126">
        <v>3</v>
      </c>
      <c r="J126">
        <f t="shared" si="2"/>
        <v>1240708</v>
      </c>
      <c r="L126">
        <f t="shared" si="3"/>
        <v>553.88750000000005</v>
      </c>
    </row>
    <row r="127" spans="1:12" x14ac:dyDescent="0.35">
      <c r="A127">
        <v>1750</v>
      </c>
      <c r="B127" t="s">
        <v>88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35">
      <c r="A128">
        <v>1750</v>
      </c>
      <c r="B128" t="s">
        <v>63</v>
      </c>
      <c r="C128" t="s">
        <v>68</v>
      </c>
      <c r="D128" t="s">
        <v>35</v>
      </c>
      <c r="E128">
        <v>801</v>
      </c>
      <c r="F128">
        <v>12</v>
      </c>
      <c r="H128">
        <v>19</v>
      </c>
      <c r="J128">
        <f t="shared" si="2"/>
        <v>1795603</v>
      </c>
      <c r="L128">
        <f t="shared" si="3"/>
        <v>801.60848214285716</v>
      </c>
    </row>
    <row r="129" spans="1:12" x14ac:dyDescent="0.35">
      <c r="A129">
        <v>1750</v>
      </c>
      <c r="B129" t="s">
        <v>89</v>
      </c>
      <c r="C129" t="s">
        <v>68</v>
      </c>
      <c r="D129" t="s">
        <v>35</v>
      </c>
      <c r="E129">
        <v>333</v>
      </c>
      <c r="F129">
        <v>8</v>
      </c>
      <c r="G129">
        <v>2</v>
      </c>
      <c r="H129">
        <v>18</v>
      </c>
      <c r="J129">
        <f t="shared" si="2"/>
        <v>746890</v>
      </c>
      <c r="L129">
        <f t="shared" si="3"/>
        <v>333.43303571428572</v>
      </c>
    </row>
    <row r="130" spans="1:12" x14ac:dyDescent="0.35">
      <c r="A130">
        <v>1750</v>
      </c>
      <c r="B130" t="s">
        <v>70</v>
      </c>
      <c r="C130" t="s">
        <v>68</v>
      </c>
      <c r="D130" t="s">
        <v>35</v>
      </c>
      <c r="E130">
        <v>37</v>
      </c>
      <c r="F130">
        <v>8</v>
      </c>
      <c r="G130">
        <v>1</v>
      </c>
      <c r="H130">
        <v>12</v>
      </c>
      <c r="J130">
        <f t="shared" si="2"/>
        <v>83816</v>
      </c>
      <c r="L130">
        <f t="shared" si="3"/>
        <v>37.417857142857144</v>
      </c>
    </row>
    <row r="131" spans="1:12" x14ac:dyDescent="0.35">
      <c r="A131">
        <v>1750</v>
      </c>
      <c r="B131" t="s">
        <v>64</v>
      </c>
      <c r="C131" t="s">
        <v>68</v>
      </c>
      <c r="D131" t="s">
        <v>35</v>
      </c>
      <c r="E131">
        <v>33</v>
      </c>
      <c r="F131">
        <v>8</v>
      </c>
      <c r="G131">
        <v>1</v>
      </c>
      <c r="J131">
        <f t="shared" si="2"/>
        <v>74844</v>
      </c>
      <c r="L131">
        <f t="shared" si="3"/>
        <v>33.412500000000001</v>
      </c>
    </row>
    <row r="132" spans="1:12" x14ac:dyDescent="0.35">
      <c r="A132">
        <v>1750</v>
      </c>
      <c r="B132" t="s">
        <v>65</v>
      </c>
      <c r="C132" t="s">
        <v>68</v>
      </c>
      <c r="D132" t="s">
        <v>35</v>
      </c>
      <c r="J132">
        <f t="shared" si="2"/>
        <v>0</v>
      </c>
      <c r="L132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workbookViewId="0">
      <selection activeCell="H106" sqref="H106"/>
    </sheetView>
  </sheetViews>
  <sheetFormatPr defaultRowHeight="14.5" x14ac:dyDescent="0.35"/>
  <cols>
    <col min="1" max="1" width="10.90625" customWidth="1"/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35">
      <c r="A2">
        <v>1750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35">
      <c r="A3">
        <v>1750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35">
      <c r="A4">
        <v>1750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35">
      <c r="A5">
        <v>1750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35">
      <c r="A6">
        <v>1750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35">
      <c r="A7">
        <v>1750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35">
      <c r="A8">
        <v>1750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35">
      <c r="A9">
        <v>1750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35">
      <c r="A10">
        <v>1750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35">
      <c r="A11">
        <v>1750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35">
      <c r="A12">
        <v>1750</v>
      </c>
      <c r="B12" t="s">
        <v>6</v>
      </c>
      <c r="C12" t="s">
        <v>72</v>
      </c>
      <c r="D12" t="s">
        <v>33</v>
      </c>
      <c r="F12">
        <v>31777</v>
      </c>
      <c r="G12">
        <v>1</v>
      </c>
      <c r="J12">
        <f t="shared" si="0"/>
        <v>3559052</v>
      </c>
      <c r="L12">
        <f t="shared" si="1"/>
        <v>1588.8625</v>
      </c>
    </row>
    <row r="13" spans="1:15" x14ac:dyDescent="0.35">
      <c r="A13">
        <v>1750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35">
      <c r="A14">
        <v>1750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35">
      <c r="A15">
        <v>1750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35">
      <c r="A16">
        <v>1750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8</v>
      </c>
      <c r="C17" t="s">
        <v>72</v>
      </c>
      <c r="D17" t="s">
        <v>33</v>
      </c>
      <c r="F17">
        <v>6</v>
      </c>
      <c r="G17">
        <v>2</v>
      </c>
      <c r="H17">
        <v>12</v>
      </c>
      <c r="J17">
        <f t="shared" si="0"/>
        <v>740</v>
      </c>
      <c r="L17">
        <f t="shared" si="1"/>
        <v>0.33035714285714285</v>
      </c>
    </row>
    <row r="18" spans="1:12" x14ac:dyDescent="0.35">
      <c r="A18">
        <v>1750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35">
      <c r="A20">
        <v>1750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35">
      <c r="A22">
        <v>1750</v>
      </c>
      <c r="B22" t="s">
        <v>9</v>
      </c>
      <c r="C22" t="s">
        <v>72</v>
      </c>
      <c r="D22" t="s">
        <v>33</v>
      </c>
      <c r="H22">
        <f>120*200</f>
        <v>24000</v>
      </c>
      <c r="I22" t="s">
        <v>133</v>
      </c>
      <c r="J22">
        <f t="shared" si="0"/>
        <v>24000</v>
      </c>
      <c r="L22">
        <f t="shared" si="1"/>
        <v>10.714285714285714</v>
      </c>
    </row>
    <row r="23" spans="1:12" x14ac:dyDescent="0.35">
      <c r="A23">
        <v>1750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35">
      <c r="A24">
        <v>1750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39</v>
      </c>
      <c r="C25" t="s">
        <v>72</v>
      </c>
      <c r="D25" t="s">
        <v>33</v>
      </c>
      <c r="H25">
        <v>33</v>
      </c>
      <c r="J25">
        <f t="shared" si="0"/>
        <v>33</v>
      </c>
      <c r="L25">
        <f t="shared" si="1"/>
        <v>1.4732142857142857E-2</v>
      </c>
    </row>
    <row r="26" spans="1:12" x14ac:dyDescent="0.35">
      <c r="A26">
        <v>1750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35">
      <c r="A27">
        <v>1750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35">
      <c r="A28">
        <v>1750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12</v>
      </c>
      <c r="C30" t="s">
        <v>72</v>
      </c>
      <c r="D30" t="s">
        <v>33</v>
      </c>
      <c r="H30">
        <v>6202</v>
      </c>
      <c r="J30">
        <f t="shared" si="0"/>
        <v>6202</v>
      </c>
      <c r="L30">
        <f t="shared" si="1"/>
        <v>2.7687499999999998</v>
      </c>
    </row>
    <row r="31" spans="1:12" x14ac:dyDescent="0.35">
      <c r="A31">
        <v>1750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35">
      <c r="A33">
        <v>1750</v>
      </c>
      <c r="B33" t="s">
        <v>13</v>
      </c>
      <c r="C33" t="s">
        <v>72</v>
      </c>
      <c r="D33" t="s">
        <v>33</v>
      </c>
      <c r="E33">
        <v>22</v>
      </c>
      <c r="J33">
        <f t="shared" si="0"/>
        <v>49280</v>
      </c>
      <c r="L33">
        <f t="shared" si="1"/>
        <v>22</v>
      </c>
    </row>
    <row r="34" spans="1:12" x14ac:dyDescent="0.35">
      <c r="A34">
        <v>1750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35">
      <c r="A36">
        <v>1750</v>
      </c>
      <c r="B36" t="s">
        <v>27</v>
      </c>
      <c r="C36" t="s">
        <v>72</v>
      </c>
      <c r="D36" t="s">
        <v>33</v>
      </c>
      <c r="H36">
        <v>82851.5</v>
      </c>
      <c r="I36" t="s">
        <v>132</v>
      </c>
      <c r="J36">
        <f t="shared" si="0"/>
        <v>82851.5</v>
      </c>
      <c r="L36">
        <f t="shared" si="1"/>
        <v>36.987276785714286</v>
      </c>
    </row>
    <row r="37" spans="1:12" x14ac:dyDescent="0.35">
      <c r="A37">
        <v>1750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35">
      <c r="A39">
        <v>1750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47</v>
      </c>
      <c r="C40" t="s">
        <v>72</v>
      </c>
      <c r="D40" t="s">
        <v>33</v>
      </c>
      <c r="H40">
        <v>15</v>
      </c>
      <c r="I40" t="s">
        <v>130</v>
      </c>
      <c r="J40">
        <f t="shared" si="0"/>
        <v>15</v>
      </c>
      <c r="L40">
        <f t="shared" si="1"/>
        <v>6.6964285714285711E-3</v>
      </c>
    </row>
    <row r="41" spans="1:12" x14ac:dyDescent="0.35">
      <c r="A41">
        <v>1750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35">
      <c r="A43">
        <v>1750</v>
      </c>
      <c r="B43" t="s">
        <v>18</v>
      </c>
      <c r="C43" t="s">
        <v>72</v>
      </c>
      <c r="D43" t="s">
        <v>33</v>
      </c>
      <c r="H43">
        <v>66957</v>
      </c>
      <c r="I43" t="s">
        <v>131</v>
      </c>
      <c r="J43">
        <f t="shared" si="0"/>
        <v>66957</v>
      </c>
      <c r="L43">
        <f t="shared" si="1"/>
        <v>29.891517857142858</v>
      </c>
    </row>
    <row r="44" spans="1:12" x14ac:dyDescent="0.35">
      <c r="A44">
        <v>1750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35">
      <c r="A45">
        <v>1750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35">
      <c r="A46">
        <v>1750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35">
      <c r="A47">
        <v>1750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35">
      <c r="A48">
        <v>1750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54</v>
      </c>
      <c r="C49" t="s">
        <v>72</v>
      </c>
      <c r="D49" t="s">
        <v>33</v>
      </c>
      <c r="H49">
        <v>156</v>
      </c>
      <c r="J49">
        <f t="shared" si="0"/>
        <v>156</v>
      </c>
      <c r="L49">
        <f t="shared" si="1"/>
        <v>6.9642857142857145E-2</v>
      </c>
    </row>
    <row r="50" spans="1:12" x14ac:dyDescent="0.35">
      <c r="A50">
        <v>1750</v>
      </c>
      <c r="B50" t="s">
        <v>95</v>
      </c>
      <c r="C50" t="s">
        <v>72</v>
      </c>
      <c r="D50" t="s">
        <v>33</v>
      </c>
      <c r="H50">
        <v>151</v>
      </c>
      <c r="J50">
        <f t="shared" si="0"/>
        <v>151</v>
      </c>
      <c r="L50">
        <f t="shared" si="1"/>
        <v>6.7410714285714282E-2</v>
      </c>
    </row>
    <row r="51" spans="1:12" x14ac:dyDescent="0.35">
      <c r="A51">
        <v>1750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21</v>
      </c>
      <c r="C52" t="s">
        <v>72</v>
      </c>
      <c r="D52" t="s">
        <v>33</v>
      </c>
      <c r="H52">
        <v>14</v>
      </c>
      <c r="J52">
        <f t="shared" si="0"/>
        <v>14</v>
      </c>
      <c r="L52">
        <f t="shared" si="1"/>
        <v>6.2500000000000003E-3</v>
      </c>
    </row>
    <row r="53" spans="1:12" x14ac:dyDescent="0.35">
      <c r="A53">
        <v>1750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35">
      <c r="A54">
        <v>1750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35">
      <c r="A56">
        <v>1750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35">
      <c r="A57">
        <v>1750</v>
      </c>
      <c r="B57" t="s">
        <v>62</v>
      </c>
      <c r="C57" t="s">
        <v>72</v>
      </c>
      <c r="D57" t="s">
        <v>33</v>
      </c>
      <c r="E57">
        <v>2</v>
      </c>
      <c r="J57">
        <f t="shared" si="0"/>
        <v>4480</v>
      </c>
      <c r="L57">
        <f t="shared" si="1"/>
        <v>2</v>
      </c>
    </row>
    <row r="58" spans="1:12" x14ac:dyDescent="0.35">
      <c r="A58">
        <v>1750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35">
      <c r="A59">
        <v>1750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35">
      <c r="A60">
        <v>1750</v>
      </c>
      <c r="B60" t="s">
        <v>89</v>
      </c>
      <c r="C60" t="s">
        <v>72</v>
      </c>
      <c r="D60" t="s">
        <v>33</v>
      </c>
      <c r="F60">
        <v>10</v>
      </c>
      <c r="J60">
        <f t="shared" si="0"/>
        <v>1120</v>
      </c>
      <c r="L60">
        <f t="shared" si="1"/>
        <v>0.5</v>
      </c>
    </row>
    <row r="61" spans="1:12" x14ac:dyDescent="0.35">
      <c r="A61">
        <v>1750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35">
      <c r="A62">
        <v>1750</v>
      </c>
      <c r="B62" t="s">
        <v>64</v>
      </c>
      <c r="C62" t="s">
        <v>72</v>
      </c>
      <c r="D62" t="s">
        <v>33</v>
      </c>
      <c r="E62">
        <v>1</v>
      </c>
      <c r="J62">
        <f t="shared" si="0"/>
        <v>2240</v>
      </c>
      <c r="L62">
        <f t="shared" si="1"/>
        <v>1</v>
      </c>
    </row>
    <row r="63" spans="1:12" x14ac:dyDescent="0.35">
      <c r="A63">
        <v>1750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35">
      <c r="A65">
        <v>1750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35">
      <c r="A66">
        <v>1750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35">
      <c r="A67">
        <v>1750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35">
      <c r="A68">
        <v>1750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35">
      <c r="A69">
        <v>1750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35">
      <c r="A70">
        <v>1750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35">
      <c r="A71">
        <v>1750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35">
      <c r="A72">
        <v>1750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35">
      <c r="A73">
        <v>1750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6</v>
      </c>
      <c r="C74" t="s">
        <v>72</v>
      </c>
      <c r="D74" t="s">
        <v>35</v>
      </c>
      <c r="F74">
        <v>2021</v>
      </c>
      <c r="J74">
        <f t="shared" si="2"/>
        <v>226352</v>
      </c>
      <c r="L74">
        <f t="shared" si="3"/>
        <v>101.05</v>
      </c>
    </row>
    <row r="75" spans="1:12" x14ac:dyDescent="0.35">
      <c r="A75">
        <v>1750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35">
      <c r="A78">
        <v>1750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35">
      <c r="A80">
        <v>1750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9</v>
      </c>
      <c r="C83" t="s">
        <v>72</v>
      </c>
      <c r="D83" t="s">
        <v>35</v>
      </c>
      <c r="H83">
        <f>27.75*200</f>
        <v>5550</v>
      </c>
      <c r="I83" t="s">
        <v>156</v>
      </c>
      <c r="J83">
        <f t="shared" si="2"/>
        <v>5550</v>
      </c>
      <c r="L83">
        <f t="shared" si="3"/>
        <v>2.4776785714285716</v>
      </c>
    </row>
    <row r="84" spans="1:12" x14ac:dyDescent="0.35">
      <c r="A84">
        <v>1750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35">
      <c r="A86">
        <v>1750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35">
      <c r="A87">
        <v>1750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35">
      <c r="A88">
        <v>1750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35">
      <c r="A89">
        <v>1750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35">
      <c r="A90">
        <v>1750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35">
      <c r="A91">
        <v>1750</v>
      </c>
      <c r="B91" t="s">
        <v>12</v>
      </c>
      <c r="C91" t="s">
        <v>72</v>
      </c>
      <c r="D91" t="s">
        <v>35</v>
      </c>
      <c r="H91">
        <v>106</v>
      </c>
      <c r="J91">
        <f t="shared" si="2"/>
        <v>106</v>
      </c>
      <c r="L91">
        <f t="shared" si="3"/>
        <v>4.732142857142857E-2</v>
      </c>
    </row>
    <row r="92" spans="1:12" x14ac:dyDescent="0.35">
      <c r="A92">
        <v>1750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35">
      <c r="A93">
        <v>1750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35">
      <c r="A94">
        <v>1750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35">
      <c r="A95">
        <v>1750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35">
      <c r="A96">
        <v>1750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35">
      <c r="A97">
        <v>1750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35">
      <c r="A98">
        <v>1750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35">
      <c r="A99">
        <v>1750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35">
      <c r="A100">
        <v>1750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35">
      <c r="A102">
        <v>1750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35">
      <c r="A103">
        <v>1750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35">
      <c r="A104">
        <v>1750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35">
      <c r="A105">
        <v>1750</v>
      </c>
      <c r="B105" t="s">
        <v>18</v>
      </c>
      <c r="C105" t="s">
        <v>72</v>
      </c>
      <c r="D105" t="s">
        <v>35</v>
      </c>
      <c r="H105">
        <v>14283.5</v>
      </c>
      <c r="I105" t="s">
        <v>155</v>
      </c>
      <c r="J105">
        <f t="shared" si="2"/>
        <v>14283.5</v>
      </c>
      <c r="L105">
        <f t="shared" si="3"/>
        <v>6.3765625000000004</v>
      </c>
    </row>
    <row r="106" spans="1:12" x14ac:dyDescent="0.35">
      <c r="A106">
        <v>1750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35">
      <c r="A107">
        <v>1750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35">
      <c r="A108">
        <v>1750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35">
      <c r="A109">
        <v>1750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35">
      <c r="A110">
        <v>1750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35">
      <c r="A111">
        <v>1750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35">
      <c r="A112">
        <v>1750</v>
      </c>
      <c r="B112" t="s">
        <v>95</v>
      </c>
      <c r="C112" t="s">
        <v>72</v>
      </c>
      <c r="D112" t="s">
        <v>35</v>
      </c>
      <c r="H112">
        <v>101</v>
      </c>
      <c r="J112">
        <f t="shared" si="2"/>
        <v>101</v>
      </c>
      <c r="L112">
        <f t="shared" si="3"/>
        <v>4.5089285714285714E-2</v>
      </c>
    </row>
    <row r="113" spans="1:12" x14ac:dyDescent="0.35">
      <c r="A113">
        <v>1750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35">
      <c r="A114">
        <v>1750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35">
      <c r="A115">
        <v>1750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35">
      <c r="A116">
        <v>1750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35">
      <c r="A117">
        <v>1750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35">
      <c r="A118">
        <v>1750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35">
      <c r="A119">
        <v>1750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35">
      <c r="A120">
        <v>1750</v>
      </c>
      <c r="B120" t="s">
        <v>62</v>
      </c>
      <c r="C120" t="s">
        <v>72</v>
      </c>
      <c r="D120" t="s">
        <v>35</v>
      </c>
      <c r="E120">
        <v>3</v>
      </c>
      <c r="J120">
        <f t="shared" si="2"/>
        <v>6720</v>
      </c>
      <c r="L120">
        <f t="shared" si="3"/>
        <v>3</v>
      </c>
    </row>
    <row r="121" spans="1:12" x14ac:dyDescent="0.35">
      <c r="A121">
        <v>1750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35">
      <c r="A122">
        <v>1750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35">
      <c r="A123">
        <v>1750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35">
      <c r="A124">
        <v>1750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35">
      <c r="A125">
        <v>1750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35">
      <c r="A126">
        <v>1750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94" workbookViewId="0">
      <selection activeCell="H106" sqref="H106"/>
    </sheetView>
  </sheetViews>
  <sheetFormatPr defaultRowHeight="14.5" x14ac:dyDescent="0.35"/>
  <cols>
    <col min="1" max="1" width="10.90625" customWidth="1"/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35">
      <c r="A2">
        <v>1750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35">
      <c r="A3">
        <v>1750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35">
      <c r="A4">
        <v>1750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35">
      <c r="A5">
        <v>1750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35">
      <c r="A6">
        <v>1750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35">
      <c r="A7">
        <v>1750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35">
      <c r="A8">
        <v>1750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35">
      <c r="A9">
        <v>1750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35">
      <c r="A10">
        <v>1750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35">
      <c r="A11">
        <v>1750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35">
      <c r="A12">
        <v>1750</v>
      </c>
      <c r="B12" t="s">
        <v>6</v>
      </c>
      <c r="C12" t="s">
        <v>73</v>
      </c>
      <c r="D12" t="s">
        <v>33</v>
      </c>
      <c r="F12">
        <v>19355</v>
      </c>
      <c r="G12">
        <v>1</v>
      </c>
      <c r="J12">
        <f t="shared" si="0"/>
        <v>2167788</v>
      </c>
      <c r="L12">
        <f t="shared" si="1"/>
        <v>967.76250000000005</v>
      </c>
    </row>
    <row r="13" spans="1:15" x14ac:dyDescent="0.35">
      <c r="A13">
        <v>1750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35">
      <c r="A14">
        <v>1750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35">
      <c r="A15">
        <v>1750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35">
      <c r="A16">
        <v>1750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8</v>
      </c>
      <c r="C17" t="s">
        <v>73</v>
      </c>
      <c r="D17" t="s">
        <v>33</v>
      </c>
      <c r="F17">
        <v>3</v>
      </c>
      <c r="G17">
        <v>2</v>
      </c>
      <c r="J17">
        <f t="shared" si="0"/>
        <v>392</v>
      </c>
      <c r="L17">
        <f t="shared" si="1"/>
        <v>0.17499999999999999</v>
      </c>
    </row>
    <row r="18" spans="1:12" x14ac:dyDescent="0.35">
      <c r="A18">
        <v>1750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35">
      <c r="A20">
        <v>1750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35">
      <c r="A22">
        <v>1750</v>
      </c>
      <c r="B22" t="s">
        <v>9</v>
      </c>
      <c r="C22" t="s">
        <v>73</v>
      </c>
      <c r="D22" t="s">
        <v>33</v>
      </c>
      <c r="H22">
        <f>10*200</f>
        <v>2000</v>
      </c>
      <c r="I22" t="s">
        <v>137</v>
      </c>
      <c r="J22">
        <f t="shared" si="0"/>
        <v>2000</v>
      </c>
      <c r="L22">
        <f t="shared" si="1"/>
        <v>0.8928571428571429</v>
      </c>
    </row>
    <row r="23" spans="1:12" x14ac:dyDescent="0.35">
      <c r="A23">
        <v>1750</v>
      </c>
      <c r="B23" t="s">
        <v>10</v>
      </c>
      <c r="C23" t="s">
        <v>73</v>
      </c>
      <c r="D23" t="s">
        <v>33</v>
      </c>
      <c r="F23">
        <v>4</v>
      </c>
      <c r="H23">
        <v>21</v>
      </c>
      <c r="J23">
        <f t="shared" si="0"/>
        <v>469</v>
      </c>
      <c r="L23">
        <f t="shared" si="1"/>
        <v>0.20937500000000001</v>
      </c>
    </row>
    <row r="24" spans="1:12" x14ac:dyDescent="0.35">
      <c r="A24">
        <v>1750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35">
      <c r="A26">
        <v>1750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35">
      <c r="A27">
        <v>1750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35">
      <c r="A28">
        <v>1750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35">
      <c r="A31">
        <v>1750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35">
      <c r="A33">
        <v>1750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35">
      <c r="A34">
        <v>1750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35">
      <c r="A36">
        <v>1750</v>
      </c>
      <c r="B36" t="s">
        <v>27</v>
      </c>
      <c r="C36" t="s">
        <v>73</v>
      </c>
      <c r="D36" t="s">
        <v>33</v>
      </c>
      <c r="H36">
        <v>43401</v>
      </c>
      <c r="I36" t="s">
        <v>136</v>
      </c>
      <c r="J36">
        <f t="shared" si="0"/>
        <v>43401</v>
      </c>
      <c r="L36">
        <f t="shared" si="1"/>
        <v>19.375446428571429</v>
      </c>
    </row>
    <row r="37" spans="1:12" x14ac:dyDescent="0.35">
      <c r="A37">
        <v>1750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35">
      <c r="A39">
        <v>1750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47</v>
      </c>
      <c r="C40" t="s">
        <v>73</v>
      </c>
      <c r="D40" t="s">
        <v>33</v>
      </c>
      <c r="H40">
        <v>55</v>
      </c>
      <c r="I40" t="s">
        <v>134</v>
      </c>
      <c r="J40">
        <f t="shared" si="0"/>
        <v>55</v>
      </c>
      <c r="L40">
        <f t="shared" si="1"/>
        <v>2.4553571428571428E-2</v>
      </c>
    </row>
    <row r="41" spans="1:12" x14ac:dyDescent="0.35">
      <c r="A41">
        <v>1750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35">
      <c r="A43">
        <v>1750</v>
      </c>
      <c r="B43" t="s">
        <v>18</v>
      </c>
      <c r="C43" t="s">
        <v>73</v>
      </c>
      <c r="D43" t="s">
        <v>33</v>
      </c>
      <c r="H43">
        <v>29007.5</v>
      </c>
      <c r="I43" t="s">
        <v>135</v>
      </c>
      <c r="J43">
        <f t="shared" si="0"/>
        <v>29007.5</v>
      </c>
      <c r="L43">
        <f t="shared" si="1"/>
        <v>12.949776785714286</v>
      </c>
    </row>
    <row r="44" spans="1:12" x14ac:dyDescent="0.35">
      <c r="A44">
        <v>1750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35">
      <c r="A45">
        <v>1750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35">
      <c r="A46">
        <v>1750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35">
      <c r="A47">
        <v>1750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35">
      <c r="A48">
        <v>1750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54</v>
      </c>
      <c r="C49" t="s">
        <v>73</v>
      </c>
      <c r="D49" t="s">
        <v>33</v>
      </c>
      <c r="H49">
        <v>161</v>
      </c>
      <c r="J49">
        <f t="shared" si="0"/>
        <v>161</v>
      </c>
      <c r="L49">
        <f t="shared" si="1"/>
        <v>7.1874999999999994E-2</v>
      </c>
    </row>
    <row r="50" spans="1:12" x14ac:dyDescent="0.35">
      <c r="A50">
        <v>1750</v>
      </c>
      <c r="B50" t="s">
        <v>95</v>
      </c>
      <c r="C50" t="s">
        <v>73</v>
      </c>
      <c r="D50" t="s">
        <v>33</v>
      </c>
      <c r="H50">
        <v>70</v>
      </c>
      <c r="J50">
        <f t="shared" si="0"/>
        <v>70</v>
      </c>
      <c r="L50">
        <f t="shared" si="1"/>
        <v>3.125E-2</v>
      </c>
    </row>
    <row r="51" spans="1:12" x14ac:dyDescent="0.35">
      <c r="A51">
        <v>1750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35">
      <c r="A53">
        <v>1750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35">
      <c r="A54">
        <v>1750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35">
      <c r="A56">
        <v>1750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35">
      <c r="A57">
        <v>1750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35">
      <c r="A58">
        <v>1750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35">
      <c r="A59">
        <v>1750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35">
      <c r="A60">
        <v>1750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35">
      <c r="A61">
        <v>1750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35">
      <c r="A62">
        <v>1750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35">
      <c r="A63">
        <v>1750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35">
      <c r="A65">
        <v>1750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35">
      <c r="A66">
        <v>1750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35">
      <c r="A67">
        <v>1750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35">
      <c r="A68">
        <v>1750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35">
      <c r="A69">
        <v>1750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35">
      <c r="A70">
        <v>1750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35">
      <c r="A71">
        <v>1750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35">
      <c r="A72">
        <v>1750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35">
      <c r="A73">
        <v>1750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6</v>
      </c>
      <c r="C74" t="s">
        <v>73</v>
      </c>
      <c r="D74" t="s">
        <v>35</v>
      </c>
      <c r="F74">
        <v>2368</v>
      </c>
      <c r="G74">
        <v>3</v>
      </c>
      <c r="J74">
        <f t="shared" si="2"/>
        <v>265300</v>
      </c>
      <c r="L74">
        <f t="shared" si="3"/>
        <v>118.4375</v>
      </c>
    </row>
    <row r="75" spans="1:12" x14ac:dyDescent="0.35">
      <c r="A75">
        <v>1750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35">
      <c r="A78">
        <v>1750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35">
      <c r="A80">
        <v>1750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9</v>
      </c>
      <c r="C83" t="s">
        <v>73</v>
      </c>
      <c r="D83" t="s">
        <v>35</v>
      </c>
      <c r="H83">
        <f>8*200</f>
        <v>1600</v>
      </c>
      <c r="I83" t="s">
        <v>158</v>
      </c>
      <c r="J83">
        <f t="shared" si="2"/>
        <v>1600</v>
      </c>
      <c r="L83">
        <f t="shared" si="3"/>
        <v>0.7142857142857143</v>
      </c>
    </row>
    <row r="84" spans="1:12" x14ac:dyDescent="0.35">
      <c r="A84">
        <v>1750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35">
      <c r="A86">
        <v>1750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35">
      <c r="A87">
        <v>1750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35">
      <c r="A88">
        <v>1750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35">
      <c r="A89">
        <v>1750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35">
      <c r="A90">
        <v>1750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35">
      <c r="A91">
        <v>1750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35">
      <c r="A92">
        <v>1750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35">
      <c r="A93">
        <v>1750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35">
      <c r="A94">
        <v>1750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35">
      <c r="A95">
        <v>1750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35">
      <c r="A96">
        <v>1750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35">
      <c r="A97">
        <v>1750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35">
      <c r="A98">
        <v>1750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35">
      <c r="A99">
        <v>1750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35">
      <c r="A100">
        <v>1750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35">
      <c r="A102">
        <v>1750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35">
      <c r="A103">
        <v>1750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35">
      <c r="A104">
        <v>1750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35">
      <c r="A105">
        <v>1750</v>
      </c>
      <c r="B105" t="s">
        <v>18</v>
      </c>
      <c r="C105" t="s">
        <v>73</v>
      </c>
      <c r="D105" t="s">
        <v>35</v>
      </c>
      <c r="H105">
        <v>3001</v>
      </c>
      <c r="I105" t="s">
        <v>157</v>
      </c>
      <c r="J105">
        <f t="shared" si="2"/>
        <v>3001</v>
      </c>
      <c r="L105">
        <f t="shared" si="3"/>
        <v>1.3397321428571429</v>
      </c>
    </row>
    <row r="106" spans="1:12" x14ac:dyDescent="0.35">
      <c r="A106">
        <v>1750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35">
      <c r="A107">
        <v>1750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35">
      <c r="A108">
        <v>1750</v>
      </c>
      <c r="B108" t="s">
        <v>19</v>
      </c>
      <c r="C108" t="s">
        <v>73</v>
      </c>
      <c r="D108" t="s">
        <v>35</v>
      </c>
      <c r="F108">
        <v>1</v>
      </c>
      <c r="G108">
        <v>1</v>
      </c>
      <c r="H108">
        <v>9</v>
      </c>
      <c r="J108">
        <f t="shared" si="2"/>
        <v>149</v>
      </c>
      <c r="L108">
        <f t="shared" si="3"/>
        <v>6.6517857142857142E-2</v>
      </c>
    </row>
    <row r="109" spans="1:12" x14ac:dyDescent="0.35">
      <c r="A109">
        <v>1750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35">
      <c r="A110">
        <v>1750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35">
      <c r="A111">
        <v>1750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35">
      <c r="A112">
        <v>1750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35">
      <c r="A113">
        <v>1750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35">
      <c r="A114">
        <v>1750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35">
      <c r="A115">
        <v>1750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35">
      <c r="A116">
        <v>1750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35">
      <c r="A117">
        <v>1750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35">
      <c r="A118">
        <v>1750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35">
      <c r="A119">
        <v>1750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35">
      <c r="A120">
        <v>1750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35">
      <c r="A121">
        <v>1750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35">
      <c r="A122">
        <v>1750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35">
      <c r="A123">
        <v>1750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35">
      <c r="A124">
        <v>1750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35">
      <c r="A125">
        <v>1750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35">
      <c r="A126">
        <v>1750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30"/>
  <sheetViews>
    <sheetView topLeftCell="A100" workbookViewId="0">
      <selection activeCell="H110" sqref="H110"/>
    </sheetView>
  </sheetViews>
  <sheetFormatPr defaultRowHeight="14.5" x14ac:dyDescent="0.35"/>
  <cols>
    <col min="1" max="1" width="10.90625" customWidth="1"/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35">
      <c r="A2">
        <v>1750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35">
      <c r="A3">
        <v>1750</v>
      </c>
      <c r="B3" t="s">
        <v>57</v>
      </c>
      <c r="C3" t="s">
        <v>74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35">
      <c r="A4">
        <v>1750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35">
      <c r="A5">
        <v>1750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35">
      <c r="A6">
        <v>1750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35">
      <c r="A7">
        <v>1750</v>
      </c>
      <c r="B7" t="s">
        <v>138</v>
      </c>
      <c r="C7" t="s">
        <v>74</v>
      </c>
      <c r="D7" t="s">
        <v>33</v>
      </c>
      <c r="F7">
        <v>9</v>
      </c>
      <c r="J7">
        <f t="shared" si="0"/>
        <v>1008</v>
      </c>
      <c r="L7">
        <f t="shared" si="1"/>
        <v>0.45</v>
      </c>
    </row>
    <row r="8" spans="1:15" x14ac:dyDescent="0.35">
      <c r="A8">
        <v>1750</v>
      </c>
      <c r="B8" t="s">
        <v>69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35">
      <c r="A9">
        <v>1750</v>
      </c>
      <c r="B9" t="s">
        <v>101</v>
      </c>
      <c r="C9" t="s">
        <v>74</v>
      </c>
      <c r="D9" t="s">
        <v>33</v>
      </c>
      <c r="H9">
        <v>3</v>
      </c>
      <c r="J9">
        <f t="shared" si="0"/>
        <v>3</v>
      </c>
      <c r="L9">
        <f t="shared" si="1"/>
        <v>1.3392857142857143E-3</v>
      </c>
    </row>
    <row r="10" spans="1:15" x14ac:dyDescent="0.35">
      <c r="A10">
        <v>1750</v>
      </c>
      <c r="B10" t="s">
        <v>43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35">
      <c r="A11">
        <v>1750</v>
      </c>
      <c r="B11" t="s">
        <v>76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35">
      <c r="A12">
        <v>1750</v>
      </c>
      <c r="B12" t="s">
        <v>5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35">
      <c r="A13">
        <v>1750</v>
      </c>
      <c r="B13" t="s">
        <v>59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35">
      <c r="A14">
        <v>1750</v>
      </c>
      <c r="B14" t="s">
        <v>6</v>
      </c>
      <c r="C14" t="s">
        <v>74</v>
      </c>
      <c r="D14" t="s">
        <v>33</v>
      </c>
      <c r="F14">
        <v>134250</v>
      </c>
      <c r="G14">
        <v>1</v>
      </c>
      <c r="H14">
        <v>20</v>
      </c>
      <c r="J14">
        <f t="shared" si="0"/>
        <v>15036048</v>
      </c>
      <c r="L14">
        <f t="shared" si="1"/>
        <v>6712.5214285714283</v>
      </c>
    </row>
    <row r="15" spans="1:15" x14ac:dyDescent="0.35">
      <c r="A15">
        <v>1750</v>
      </c>
      <c r="B15" t="s">
        <v>96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35">
      <c r="A16">
        <v>1750</v>
      </c>
      <c r="B16" t="s">
        <v>60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7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35">
      <c r="A18">
        <v>1750</v>
      </c>
      <c r="B18" t="s">
        <v>37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8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35">
      <c r="A20">
        <v>1750</v>
      </c>
      <c r="B20" t="s">
        <v>40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77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35">
      <c r="A22">
        <v>1750</v>
      </c>
      <c r="B22" t="s">
        <v>78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35">
      <c r="A23">
        <v>1750</v>
      </c>
      <c r="B23" t="s">
        <v>46</v>
      </c>
      <c r="C23" t="s">
        <v>74</v>
      </c>
      <c r="D23" t="s">
        <v>33</v>
      </c>
      <c r="H23">
        <v>31</v>
      </c>
      <c r="J23">
        <f t="shared" si="0"/>
        <v>31</v>
      </c>
      <c r="L23">
        <f t="shared" si="1"/>
        <v>1.3839285714285714E-2</v>
      </c>
    </row>
    <row r="24" spans="1:12" x14ac:dyDescent="0.35">
      <c r="A24">
        <v>1750</v>
      </c>
      <c r="B24" t="s">
        <v>9</v>
      </c>
      <c r="C24" t="s">
        <v>74</v>
      </c>
      <c r="D24" t="s">
        <v>33</v>
      </c>
      <c r="H24">
        <f>289.5*200</f>
        <v>57900</v>
      </c>
      <c r="I24" t="s">
        <v>143</v>
      </c>
      <c r="J24">
        <f t="shared" si="0"/>
        <v>57900</v>
      </c>
      <c r="L24">
        <f t="shared" si="1"/>
        <v>25.848214285714285</v>
      </c>
    </row>
    <row r="25" spans="1:12" x14ac:dyDescent="0.35">
      <c r="A25">
        <v>1750</v>
      </c>
      <c r="B25" t="s">
        <v>10</v>
      </c>
      <c r="C25" t="s">
        <v>74</v>
      </c>
      <c r="D25" t="s">
        <v>33</v>
      </c>
      <c r="F25">
        <v>2</v>
      </c>
      <c r="G25">
        <v>2</v>
      </c>
      <c r="H25">
        <v>6</v>
      </c>
      <c r="J25">
        <f t="shared" si="0"/>
        <v>286</v>
      </c>
      <c r="L25">
        <f t="shared" si="1"/>
        <v>0.12767857142857142</v>
      </c>
    </row>
    <row r="26" spans="1:12" x14ac:dyDescent="0.35">
      <c r="A26">
        <v>1750</v>
      </c>
      <c r="B26" t="s">
        <v>11</v>
      </c>
      <c r="C26" t="s">
        <v>74</v>
      </c>
      <c r="D26" t="s">
        <v>33</v>
      </c>
      <c r="F26">
        <v>46</v>
      </c>
      <c r="G26">
        <v>1</v>
      </c>
      <c r="H26">
        <v>8</v>
      </c>
      <c r="J26">
        <f t="shared" si="0"/>
        <v>5188</v>
      </c>
      <c r="L26">
        <f t="shared" si="1"/>
        <v>2.3160714285714286</v>
      </c>
    </row>
    <row r="27" spans="1:12" x14ac:dyDescent="0.35">
      <c r="A27">
        <v>1750</v>
      </c>
      <c r="B27" t="s">
        <v>39</v>
      </c>
      <c r="C27" t="s">
        <v>74</v>
      </c>
      <c r="D27" t="s">
        <v>33</v>
      </c>
      <c r="H27">
        <v>46</v>
      </c>
      <c r="J27">
        <f t="shared" si="0"/>
        <v>46</v>
      </c>
      <c r="L27">
        <f t="shared" si="1"/>
        <v>2.0535714285714286E-2</v>
      </c>
    </row>
    <row r="28" spans="1:12" x14ac:dyDescent="0.35">
      <c r="A28">
        <v>1750</v>
      </c>
      <c r="B28" t="s">
        <v>79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103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44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35">
      <c r="A31">
        <v>1750</v>
      </c>
      <c r="B31" t="s">
        <v>97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12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35">
      <c r="A33">
        <v>1750</v>
      </c>
      <c r="B33" t="s">
        <v>82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35">
      <c r="A34">
        <v>1750</v>
      </c>
      <c r="B34" t="s">
        <v>34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13</v>
      </c>
      <c r="C35" t="s">
        <v>74</v>
      </c>
      <c r="D35" t="s">
        <v>33</v>
      </c>
      <c r="E35">
        <v>56</v>
      </c>
      <c r="J35">
        <f t="shared" si="0"/>
        <v>125440</v>
      </c>
      <c r="L35">
        <f t="shared" si="1"/>
        <v>56</v>
      </c>
    </row>
    <row r="36" spans="1:12" x14ac:dyDescent="0.35">
      <c r="A36">
        <v>1750</v>
      </c>
      <c r="B36" t="s">
        <v>14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35">
      <c r="A37">
        <v>1750</v>
      </c>
      <c r="B37" t="s">
        <v>23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27</v>
      </c>
      <c r="C38" t="s">
        <v>74</v>
      </c>
      <c r="D38" t="s">
        <v>33</v>
      </c>
      <c r="H38">
        <v>73659</v>
      </c>
      <c r="I38" t="s">
        <v>141</v>
      </c>
      <c r="J38">
        <f t="shared" si="0"/>
        <v>73659</v>
      </c>
      <c r="L38">
        <f t="shared" si="1"/>
        <v>32.88348214285714</v>
      </c>
    </row>
    <row r="39" spans="1:12" x14ac:dyDescent="0.35">
      <c r="A39">
        <v>1750</v>
      </c>
      <c r="B39" t="s">
        <v>15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42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35">
      <c r="A41">
        <v>1750</v>
      </c>
      <c r="B41" t="s">
        <v>83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47</v>
      </c>
      <c r="C42" t="s">
        <v>74</v>
      </c>
      <c r="D42" t="s">
        <v>33</v>
      </c>
      <c r="H42">
        <v>182.5</v>
      </c>
      <c r="I42" t="s">
        <v>139</v>
      </c>
      <c r="J42">
        <f t="shared" si="0"/>
        <v>182.5</v>
      </c>
      <c r="L42">
        <f t="shared" si="1"/>
        <v>8.1473214285714288E-2</v>
      </c>
    </row>
    <row r="43" spans="1:12" x14ac:dyDescent="0.35">
      <c r="A43">
        <v>1750</v>
      </c>
      <c r="B43" t="s">
        <v>16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35">
      <c r="A44">
        <v>1750</v>
      </c>
      <c r="B44" t="s">
        <v>113</v>
      </c>
      <c r="C44" t="s">
        <v>74</v>
      </c>
      <c r="D44" t="s">
        <v>33</v>
      </c>
      <c r="H44">
        <v>8132</v>
      </c>
      <c r="I44" t="s">
        <v>142</v>
      </c>
      <c r="J44">
        <f t="shared" si="0"/>
        <v>8132</v>
      </c>
      <c r="L44">
        <f t="shared" si="1"/>
        <v>3.6303571428571431</v>
      </c>
    </row>
    <row r="45" spans="1:12" x14ac:dyDescent="0.35">
      <c r="A45">
        <v>1750</v>
      </c>
      <c r="B45" t="s">
        <v>17</v>
      </c>
      <c r="C45" t="s">
        <v>74</v>
      </c>
      <c r="D45" t="s">
        <v>33</v>
      </c>
      <c r="F45">
        <v>81</v>
      </c>
      <c r="G45">
        <v>3</v>
      </c>
      <c r="J45">
        <f t="shared" si="0"/>
        <v>9156</v>
      </c>
      <c r="L45">
        <f t="shared" si="1"/>
        <v>4.0875000000000004</v>
      </c>
    </row>
    <row r="46" spans="1:12" x14ac:dyDescent="0.35">
      <c r="A46">
        <v>1750</v>
      </c>
      <c r="B46" t="s">
        <v>18</v>
      </c>
      <c r="C46" t="s">
        <v>74</v>
      </c>
      <c r="D46" t="s">
        <v>33</v>
      </c>
      <c r="H46">
        <v>154349.5</v>
      </c>
      <c r="I46" t="s">
        <v>140</v>
      </c>
      <c r="J46">
        <f t="shared" si="0"/>
        <v>154349.5</v>
      </c>
      <c r="L46">
        <f t="shared" si="1"/>
        <v>68.906026785714289</v>
      </c>
    </row>
    <row r="47" spans="1:12" x14ac:dyDescent="0.35">
      <c r="A47">
        <v>1750</v>
      </c>
      <c r="B47" t="s">
        <v>26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35">
      <c r="A48">
        <v>1750</v>
      </c>
      <c r="B48" t="s">
        <v>84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19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35">
      <c r="A50">
        <v>1750</v>
      </c>
      <c r="B50" t="s">
        <v>45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35">
      <c r="A51">
        <v>1750</v>
      </c>
      <c r="B51" t="s">
        <v>85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54</v>
      </c>
      <c r="C52" t="s">
        <v>74</v>
      </c>
      <c r="D52" t="s">
        <v>33</v>
      </c>
      <c r="H52">
        <v>749</v>
      </c>
      <c r="J52">
        <f t="shared" si="0"/>
        <v>749</v>
      </c>
      <c r="L52">
        <f t="shared" si="1"/>
        <v>0.33437499999999998</v>
      </c>
    </row>
    <row r="53" spans="1:12" x14ac:dyDescent="0.35">
      <c r="A53">
        <v>1750</v>
      </c>
      <c r="B53" t="s">
        <v>95</v>
      </c>
      <c r="C53" t="s">
        <v>74</v>
      </c>
      <c r="D53" t="s">
        <v>33</v>
      </c>
      <c r="H53">
        <v>572</v>
      </c>
      <c r="J53">
        <f t="shared" si="0"/>
        <v>572</v>
      </c>
      <c r="L53">
        <f t="shared" si="1"/>
        <v>0.25535714285714284</v>
      </c>
    </row>
    <row r="54" spans="1:12" x14ac:dyDescent="0.35">
      <c r="A54">
        <v>1750</v>
      </c>
      <c r="B54" t="s">
        <v>20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21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35">
      <c r="A56">
        <v>1750</v>
      </c>
      <c r="B56" t="s">
        <v>90</v>
      </c>
      <c r="C56" t="s">
        <v>74</v>
      </c>
      <c r="D56" t="s">
        <v>33</v>
      </c>
      <c r="F56">
        <v>27</v>
      </c>
      <c r="G56">
        <v>2</v>
      </c>
      <c r="J56">
        <f t="shared" si="0"/>
        <v>3080</v>
      </c>
      <c r="L56">
        <f t="shared" si="1"/>
        <v>1.375</v>
      </c>
    </row>
    <row r="57" spans="1:12" x14ac:dyDescent="0.35">
      <c r="A57">
        <v>1750</v>
      </c>
      <c r="B57" t="s">
        <v>22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35">
      <c r="A58">
        <v>1750</v>
      </c>
      <c r="B58" t="s">
        <v>61</v>
      </c>
      <c r="C58" t="s">
        <v>74</v>
      </c>
      <c r="D58" t="s">
        <v>33</v>
      </c>
      <c r="E58">
        <v>44</v>
      </c>
      <c r="J58">
        <f t="shared" si="0"/>
        <v>98560</v>
      </c>
      <c r="L58">
        <f t="shared" si="1"/>
        <v>44</v>
      </c>
    </row>
    <row r="59" spans="1:12" x14ac:dyDescent="0.35">
      <c r="A59">
        <v>1750</v>
      </c>
      <c r="B59" t="s">
        <v>99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35">
      <c r="A60">
        <v>1750</v>
      </c>
      <c r="B60" t="s">
        <v>87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35">
      <c r="A61">
        <v>1750</v>
      </c>
      <c r="B61" t="s">
        <v>62</v>
      </c>
      <c r="C61" t="s">
        <v>74</v>
      </c>
      <c r="D61" t="s">
        <v>33</v>
      </c>
      <c r="E61">
        <v>175</v>
      </c>
      <c r="F61">
        <v>5</v>
      </c>
      <c r="J61">
        <f t="shared" si="0"/>
        <v>392560</v>
      </c>
      <c r="L61">
        <f t="shared" si="1"/>
        <v>175.25</v>
      </c>
    </row>
    <row r="62" spans="1:12" x14ac:dyDescent="0.35">
      <c r="A62">
        <v>1750</v>
      </c>
      <c r="B62" t="s">
        <v>88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35">
      <c r="A63">
        <v>1750</v>
      </c>
      <c r="B63" t="s">
        <v>63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89</v>
      </c>
      <c r="C64" t="s">
        <v>74</v>
      </c>
      <c r="D64" t="s">
        <v>33</v>
      </c>
      <c r="E64">
        <v>269</v>
      </c>
      <c r="J64">
        <f t="shared" si="0"/>
        <v>602560</v>
      </c>
      <c r="L64">
        <f t="shared" si="1"/>
        <v>269</v>
      </c>
    </row>
    <row r="65" spans="1:12" x14ac:dyDescent="0.35">
      <c r="A65">
        <v>1750</v>
      </c>
      <c r="B65" t="s">
        <v>70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35">
      <c r="A66">
        <v>1750</v>
      </c>
      <c r="B66" t="s">
        <v>64</v>
      </c>
      <c r="C66" t="s">
        <v>74</v>
      </c>
      <c r="D66" t="s">
        <v>33</v>
      </c>
      <c r="E66">
        <v>30</v>
      </c>
      <c r="J66">
        <f t="shared" si="0"/>
        <v>67200</v>
      </c>
      <c r="L66">
        <f t="shared" si="1"/>
        <v>30</v>
      </c>
    </row>
    <row r="67" spans="1:12" x14ac:dyDescent="0.35">
      <c r="A67">
        <v>1750</v>
      </c>
      <c r="B67" t="s">
        <v>65</v>
      </c>
      <c r="C67" t="s">
        <v>74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35">
      <c r="A68">
        <v>1750</v>
      </c>
      <c r="B68" t="s">
        <v>55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35">
      <c r="A69">
        <v>1750</v>
      </c>
      <c r="B69" t="s">
        <v>57</v>
      </c>
      <c r="C69" t="s">
        <v>74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35">
      <c r="A70">
        <v>1750</v>
      </c>
      <c r="B70" t="s">
        <v>36</v>
      </c>
      <c r="C70" t="s">
        <v>74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35">
      <c r="A71">
        <v>1750</v>
      </c>
      <c r="B71" t="s">
        <v>4</v>
      </c>
      <c r="C71" t="s">
        <v>74</v>
      </c>
      <c r="D71" t="s">
        <v>35</v>
      </c>
      <c r="J71">
        <f t="shared" ref="J71:J130" si="2">(E71*2240)+(F71*112)+(G71*28)+H71</f>
        <v>0</v>
      </c>
      <c r="L71">
        <f t="shared" ref="L71:L130" si="3">J71/2240</f>
        <v>0</v>
      </c>
    </row>
    <row r="72" spans="1:12" x14ac:dyDescent="0.35">
      <c r="A72">
        <v>1750</v>
      </c>
      <c r="B72" t="s">
        <v>58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35">
      <c r="A73">
        <v>1750</v>
      </c>
      <c r="B73" t="s">
        <v>69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43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35">
      <c r="A75">
        <v>1750</v>
      </c>
      <c r="B75" t="s">
        <v>76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5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59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35">
      <c r="A78">
        <v>1750</v>
      </c>
      <c r="B78" t="s">
        <v>6</v>
      </c>
      <c r="C78" t="s">
        <v>74</v>
      </c>
      <c r="D78" t="s">
        <v>35</v>
      </c>
      <c r="F78">
        <v>30111</v>
      </c>
      <c r="G78">
        <v>1</v>
      </c>
      <c r="H78">
        <v>2</v>
      </c>
      <c r="J78">
        <f t="shared" si="2"/>
        <v>3372462</v>
      </c>
      <c r="L78">
        <f t="shared" si="3"/>
        <v>1505.5633928571428</v>
      </c>
    </row>
    <row r="79" spans="1:12" x14ac:dyDescent="0.35">
      <c r="A79">
        <v>1750</v>
      </c>
      <c r="B79" t="s">
        <v>60</v>
      </c>
      <c r="C79" t="s">
        <v>74</v>
      </c>
      <c r="D79" t="s">
        <v>35</v>
      </c>
      <c r="H79">
        <v>106</v>
      </c>
      <c r="J79">
        <f t="shared" si="2"/>
        <v>106</v>
      </c>
      <c r="L79">
        <f t="shared" si="3"/>
        <v>4.732142857142857E-2</v>
      </c>
    </row>
    <row r="80" spans="1:12" x14ac:dyDescent="0.35">
      <c r="A80">
        <v>1750</v>
      </c>
      <c r="B80" t="s">
        <v>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37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8</v>
      </c>
      <c r="C82" t="s">
        <v>74</v>
      </c>
      <c r="D82" t="s">
        <v>35</v>
      </c>
      <c r="F82">
        <v>9</v>
      </c>
      <c r="G82">
        <v>1</v>
      </c>
      <c r="H82">
        <v>4</v>
      </c>
      <c r="J82">
        <f t="shared" si="2"/>
        <v>1040</v>
      </c>
      <c r="L82">
        <f t="shared" si="3"/>
        <v>0.4642857142857143</v>
      </c>
    </row>
    <row r="83" spans="1:12" x14ac:dyDescent="0.35">
      <c r="A83">
        <v>1750</v>
      </c>
      <c r="B83" t="s">
        <v>40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35">
      <c r="A84">
        <v>1750</v>
      </c>
      <c r="B84" t="s">
        <v>77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78</v>
      </c>
      <c r="C85" t="s">
        <v>74</v>
      </c>
      <c r="D85" t="s">
        <v>35</v>
      </c>
      <c r="H85">
        <v>136</v>
      </c>
      <c r="J85">
        <f t="shared" si="2"/>
        <v>136</v>
      </c>
      <c r="L85">
        <f t="shared" si="3"/>
        <v>6.0714285714285714E-2</v>
      </c>
    </row>
    <row r="86" spans="1:12" x14ac:dyDescent="0.35">
      <c r="A86">
        <v>1750</v>
      </c>
      <c r="B86" t="s">
        <v>46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35">
      <c r="A87">
        <v>1750</v>
      </c>
      <c r="B87" t="s">
        <v>9</v>
      </c>
      <c r="C87" t="s">
        <v>74</v>
      </c>
      <c r="D87" t="s">
        <v>35</v>
      </c>
      <c r="H87">
        <f>154.5*200</f>
        <v>30900</v>
      </c>
      <c r="I87" t="s">
        <v>161</v>
      </c>
      <c r="J87">
        <f t="shared" si="2"/>
        <v>30900</v>
      </c>
      <c r="L87">
        <f t="shared" si="3"/>
        <v>13.794642857142858</v>
      </c>
    </row>
    <row r="88" spans="1:12" x14ac:dyDescent="0.35">
      <c r="A88">
        <v>1750</v>
      </c>
      <c r="B88" t="s">
        <v>10</v>
      </c>
      <c r="C88" t="s">
        <v>74</v>
      </c>
      <c r="D88" t="s">
        <v>35</v>
      </c>
      <c r="F88">
        <v>8</v>
      </c>
      <c r="G88">
        <v>1</v>
      </c>
      <c r="H88">
        <v>27</v>
      </c>
      <c r="J88">
        <f t="shared" si="2"/>
        <v>951</v>
      </c>
      <c r="L88">
        <f t="shared" si="3"/>
        <v>0.42455357142857142</v>
      </c>
    </row>
    <row r="89" spans="1:12" x14ac:dyDescent="0.35">
      <c r="A89">
        <v>1750</v>
      </c>
      <c r="B89" t="s">
        <v>11</v>
      </c>
      <c r="C89" t="s">
        <v>74</v>
      </c>
      <c r="D89" t="s">
        <v>35</v>
      </c>
      <c r="F89">
        <v>159</v>
      </c>
      <c r="G89">
        <v>2</v>
      </c>
      <c r="H89">
        <v>18</v>
      </c>
      <c r="J89">
        <f t="shared" si="2"/>
        <v>17882</v>
      </c>
      <c r="L89">
        <f t="shared" si="3"/>
        <v>7.9830357142857142</v>
      </c>
    </row>
    <row r="90" spans="1:12" x14ac:dyDescent="0.35">
      <c r="A90">
        <v>1750</v>
      </c>
      <c r="B90" t="s">
        <v>39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35">
      <c r="A91">
        <v>1750</v>
      </c>
      <c r="B91" t="s">
        <v>79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35">
      <c r="A92">
        <v>1750</v>
      </c>
      <c r="B92" t="s">
        <v>103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35">
      <c r="A93">
        <v>1750</v>
      </c>
      <c r="B93" t="s">
        <v>44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35">
      <c r="A94">
        <v>1750</v>
      </c>
      <c r="B94" t="s">
        <v>97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35">
      <c r="A95">
        <v>1750</v>
      </c>
      <c r="B95" t="s">
        <v>12</v>
      </c>
      <c r="C95" t="s">
        <v>74</v>
      </c>
      <c r="D95" t="s">
        <v>35</v>
      </c>
      <c r="H95">
        <v>370</v>
      </c>
      <c r="J95">
        <f t="shared" si="2"/>
        <v>370</v>
      </c>
      <c r="L95">
        <f t="shared" si="3"/>
        <v>0.16517857142857142</v>
      </c>
    </row>
    <row r="96" spans="1:12" x14ac:dyDescent="0.35">
      <c r="A96">
        <v>1750</v>
      </c>
      <c r="B96" t="s">
        <v>82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35">
      <c r="A97">
        <v>1750</v>
      </c>
      <c r="B97" t="s">
        <v>34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35">
      <c r="A98">
        <v>1750</v>
      </c>
      <c r="B98" t="s">
        <v>13</v>
      </c>
      <c r="C98" t="s">
        <v>74</v>
      </c>
      <c r="D98" t="s">
        <v>35</v>
      </c>
      <c r="E98">
        <v>93</v>
      </c>
      <c r="F98">
        <v>2</v>
      </c>
      <c r="G98">
        <v>2</v>
      </c>
      <c r="J98">
        <f t="shared" si="2"/>
        <v>208600</v>
      </c>
      <c r="L98">
        <f t="shared" si="3"/>
        <v>93.125</v>
      </c>
    </row>
    <row r="99" spans="1:12" x14ac:dyDescent="0.35">
      <c r="A99">
        <v>1750</v>
      </c>
      <c r="B99" t="s">
        <v>14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35">
      <c r="A100">
        <v>1750</v>
      </c>
      <c r="B100" t="s">
        <v>23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27</v>
      </c>
      <c r="C101" t="s">
        <v>74</v>
      </c>
      <c r="D101" t="s">
        <v>35</v>
      </c>
      <c r="H101">
        <v>18565</v>
      </c>
      <c r="I101" t="s">
        <v>160</v>
      </c>
      <c r="J101">
        <f t="shared" si="2"/>
        <v>18565</v>
      </c>
      <c r="L101">
        <f t="shared" si="3"/>
        <v>8.2879464285714288</v>
      </c>
    </row>
    <row r="102" spans="1:12" x14ac:dyDescent="0.35">
      <c r="A102">
        <v>1750</v>
      </c>
      <c r="B102" t="s">
        <v>15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35">
      <c r="A103">
        <v>1750</v>
      </c>
      <c r="B103" t="s">
        <v>93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35">
      <c r="A104">
        <v>1750</v>
      </c>
      <c r="B104" t="s">
        <v>42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35">
      <c r="A105">
        <v>1750</v>
      </c>
      <c r="B105" t="s">
        <v>83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35">
      <c r="A106">
        <v>1750</v>
      </c>
      <c r="B106" t="s">
        <v>47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35">
      <c r="A107">
        <v>1750</v>
      </c>
      <c r="B107" t="s">
        <v>16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35">
      <c r="A108">
        <v>1750</v>
      </c>
      <c r="B108" t="s">
        <v>17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35">
      <c r="A109">
        <v>1750</v>
      </c>
      <c r="B109" t="s">
        <v>18</v>
      </c>
      <c r="C109" t="s">
        <v>74</v>
      </c>
      <c r="D109" t="s">
        <v>35</v>
      </c>
      <c r="H109">
        <v>301235</v>
      </c>
      <c r="I109" t="s">
        <v>159</v>
      </c>
      <c r="J109">
        <f t="shared" si="2"/>
        <v>301235</v>
      </c>
      <c r="L109">
        <f t="shared" si="3"/>
        <v>134.47991071428572</v>
      </c>
    </row>
    <row r="110" spans="1:12" x14ac:dyDescent="0.35">
      <c r="A110">
        <v>1750</v>
      </c>
      <c r="B110" t="s">
        <v>26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35">
      <c r="A111">
        <v>1750</v>
      </c>
      <c r="B111" t="s">
        <v>84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35">
      <c r="A112">
        <v>1750</v>
      </c>
      <c r="B112" t="s">
        <v>19</v>
      </c>
      <c r="C112" t="s">
        <v>74</v>
      </c>
      <c r="D112" t="s">
        <v>35</v>
      </c>
      <c r="F112">
        <v>10</v>
      </c>
      <c r="G112">
        <v>1</v>
      </c>
      <c r="H112">
        <v>14</v>
      </c>
      <c r="J112">
        <f t="shared" si="2"/>
        <v>1162</v>
      </c>
      <c r="L112">
        <f t="shared" si="3"/>
        <v>0.51875000000000004</v>
      </c>
    </row>
    <row r="113" spans="1:12" x14ac:dyDescent="0.35">
      <c r="A113">
        <v>1750</v>
      </c>
      <c r="B113" t="s">
        <v>45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35">
      <c r="A114">
        <v>1750</v>
      </c>
      <c r="B114" t="s">
        <v>85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35">
      <c r="A115">
        <v>1750</v>
      </c>
      <c r="B115" t="s">
        <v>54</v>
      </c>
      <c r="C115" t="s">
        <v>74</v>
      </c>
      <c r="D115" t="s">
        <v>35</v>
      </c>
      <c r="H115">
        <v>151</v>
      </c>
      <c r="J115">
        <f t="shared" si="2"/>
        <v>151</v>
      </c>
      <c r="L115">
        <f t="shared" si="3"/>
        <v>6.7410714285714282E-2</v>
      </c>
    </row>
    <row r="116" spans="1:12" x14ac:dyDescent="0.35">
      <c r="A116">
        <v>1750</v>
      </c>
      <c r="B116" t="s">
        <v>95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35">
      <c r="A117">
        <v>1750</v>
      </c>
      <c r="B117" t="s">
        <v>20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35">
      <c r="A118">
        <v>1750</v>
      </c>
      <c r="B118" t="s">
        <v>21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35">
      <c r="A119">
        <v>1750</v>
      </c>
      <c r="B119" t="s">
        <v>22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35">
      <c r="A120">
        <v>1750</v>
      </c>
      <c r="B120" t="s">
        <v>61</v>
      </c>
      <c r="C120" t="s">
        <v>74</v>
      </c>
      <c r="D120" t="s">
        <v>35</v>
      </c>
      <c r="E120">
        <v>2</v>
      </c>
      <c r="F120">
        <v>10</v>
      </c>
      <c r="J120">
        <f t="shared" si="2"/>
        <v>5600</v>
      </c>
      <c r="L120">
        <f t="shared" si="3"/>
        <v>2.5</v>
      </c>
    </row>
    <row r="121" spans="1:12" x14ac:dyDescent="0.35">
      <c r="A121">
        <v>1750</v>
      </c>
      <c r="B121" t="s">
        <v>91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35">
      <c r="A122">
        <v>1750</v>
      </c>
      <c r="B122" t="s">
        <v>98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35">
      <c r="A123">
        <v>1750</v>
      </c>
      <c r="B123" t="s">
        <v>87</v>
      </c>
      <c r="C123" t="s">
        <v>74</v>
      </c>
      <c r="D123" t="s">
        <v>35</v>
      </c>
      <c r="E123">
        <v>5</v>
      </c>
      <c r="J123">
        <f t="shared" si="2"/>
        <v>11200</v>
      </c>
      <c r="L123">
        <f t="shared" si="3"/>
        <v>5</v>
      </c>
    </row>
    <row r="124" spans="1:12" x14ac:dyDescent="0.35">
      <c r="A124">
        <v>1750</v>
      </c>
      <c r="B124" t="s">
        <v>62</v>
      </c>
      <c r="C124" t="s">
        <v>74</v>
      </c>
      <c r="D124" t="s">
        <v>35</v>
      </c>
      <c r="E124">
        <v>146</v>
      </c>
      <c r="F124">
        <v>9</v>
      </c>
      <c r="H124">
        <v>14</v>
      </c>
      <c r="J124">
        <f t="shared" si="2"/>
        <v>328062</v>
      </c>
      <c r="L124">
        <f t="shared" si="3"/>
        <v>146.45625000000001</v>
      </c>
    </row>
    <row r="125" spans="1:12" x14ac:dyDescent="0.35">
      <c r="A125">
        <v>1750</v>
      </c>
      <c r="B125" t="s">
        <v>88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35">
      <c r="A126">
        <v>1750</v>
      </c>
      <c r="B126" t="s">
        <v>63</v>
      </c>
      <c r="C126" t="s">
        <v>74</v>
      </c>
      <c r="D126" t="s">
        <v>35</v>
      </c>
      <c r="E126">
        <v>4</v>
      </c>
      <c r="J126">
        <f t="shared" si="2"/>
        <v>8960</v>
      </c>
      <c r="L126">
        <f t="shared" si="3"/>
        <v>4</v>
      </c>
    </row>
    <row r="127" spans="1:12" x14ac:dyDescent="0.35">
      <c r="A127">
        <v>1750</v>
      </c>
      <c r="B127" t="s">
        <v>89</v>
      </c>
      <c r="C127" t="s">
        <v>74</v>
      </c>
      <c r="D127" t="s">
        <v>35</v>
      </c>
      <c r="E127">
        <v>40</v>
      </c>
      <c r="F127">
        <v>6</v>
      </c>
      <c r="J127">
        <f t="shared" si="2"/>
        <v>90272</v>
      </c>
      <c r="L127">
        <f t="shared" si="3"/>
        <v>40.299999999999997</v>
      </c>
    </row>
    <row r="128" spans="1:12" x14ac:dyDescent="0.35">
      <c r="A128">
        <v>1750</v>
      </c>
      <c r="B128" t="s">
        <v>70</v>
      </c>
      <c r="C128" t="s">
        <v>74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35">
      <c r="A129">
        <v>1750</v>
      </c>
      <c r="B129" t="s">
        <v>64</v>
      </c>
      <c r="C129" t="s">
        <v>74</v>
      </c>
      <c r="D129" t="s">
        <v>35</v>
      </c>
      <c r="E129">
        <v>7</v>
      </c>
      <c r="F129">
        <v>3</v>
      </c>
      <c r="G129">
        <v>26</v>
      </c>
      <c r="J129">
        <f t="shared" si="2"/>
        <v>16744</v>
      </c>
      <c r="L129">
        <f t="shared" si="3"/>
        <v>7.4749999999999996</v>
      </c>
    </row>
    <row r="130" spans="1:12" x14ac:dyDescent="0.35">
      <c r="A130">
        <v>1750</v>
      </c>
      <c r="B130" t="s">
        <v>65</v>
      </c>
      <c r="C130" t="s">
        <v>74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topLeftCell="A88" workbookViewId="0">
      <selection activeCell="H105" sqref="H105"/>
    </sheetView>
  </sheetViews>
  <sheetFormatPr defaultRowHeight="14.5" x14ac:dyDescent="0.35"/>
  <cols>
    <col min="1" max="1" width="10.90625" customWidth="1"/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35">
      <c r="A2">
        <v>1750</v>
      </c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35">
      <c r="A3">
        <v>1750</v>
      </c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35">
      <c r="A4">
        <v>1750</v>
      </c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35">
      <c r="A5">
        <v>1750</v>
      </c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35">
      <c r="A6">
        <v>1750</v>
      </c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35">
      <c r="A7">
        <v>1750</v>
      </c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35">
      <c r="A8">
        <v>1750</v>
      </c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35">
      <c r="A9">
        <v>1750</v>
      </c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35">
      <c r="A10">
        <v>1750</v>
      </c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35">
      <c r="A11">
        <v>1750</v>
      </c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35">
      <c r="A12">
        <v>1750</v>
      </c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35">
      <c r="A13">
        <v>1750</v>
      </c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35">
      <c r="A14">
        <v>1750</v>
      </c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35">
      <c r="A15">
        <v>1750</v>
      </c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35">
      <c r="A16">
        <v>1750</v>
      </c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35">
      <c r="A17">
        <v>1750</v>
      </c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35">
      <c r="A18">
        <v>1750</v>
      </c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35">
      <c r="A19">
        <v>1750</v>
      </c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35">
      <c r="A20">
        <v>1750</v>
      </c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35">
      <c r="A21">
        <v>1750</v>
      </c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35">
      <c r="A22">
        <v>1750</v>
      </c>
      <c r="B22" t="s">
        <v>9</v>
      </c>
      <c r="C22" t="s">
        <v>94</v>
      </c>
      <c r="D22" t="s">
        <v>33</v>
      </c>
      <c r="H22">
        <v>64000</v>
      </c>
      <c r="J22">
        <f t="shared" si="0"/>
        <v>64000</v>
      </c>
      <c r="L22">
        <f t="shared" si="1"/>
        <v>28.571428571428573</v>
      </c>
    </row>
    <row r="23" spans="1:12" x14ac:dyDescent="0.35">
      <c r="A23">
        <v>1750</v>
      </c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35">
      <c r="A24">
        <v>1750</v>
      </c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35">
      <c r="A25">
        <v>1750</v>
      </c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35">
      <c r="A26">
        <v>1750</v>
      </c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35">
      <c r="A27">
        <v>1750</v>
      </c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35">
      <c r="A28">
        <v>1750</v>
      </c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35">
      <c r="A29">
        <v>1750</v>
      </c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35">
      <c r="A30">
        <v>1750</v>
      </c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35">
      <c r="A31">
        <v>1750</v>
      </c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35">
      <c r="A32">
        <v>1750</v>
      </c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35">
      <c r="A33">
        <v>1750</v>
      </c>
      <c r="B33" t="s">
        <v>13</v>
      </c>
      <c r="C33" t="s">
        <v>94</v>
      </c>
      <c r="D33" t="s">
        <v>33</v>
      </c>
      <c r="E33">
        <v>43</v>
      </c>
      <c r="J33">
        <f t="shared" si="0"/>
        <v>96320</v>
      </c>
      <c r="L33">
        <f t="shared" si="1"/>
        <v>43</v>
      </c>
    </row>
    <row r="34" spans="1:12" x14ac:dyDescent="0.35">
      <c r="A34">
        <v>1750</v>
      </c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35">
      <c r="A35">
        <v>1750</v>
      </c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35">
      <c r="A36">
        <v>1750</v>
      </c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35">
      <c r="A37">
        <v>1750</v>
      </c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35">
      <c r="A38">
        <v>1750</v>
      </c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35">
      <c r="A39">
        <v>1750</v>
      </c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35">
      <c r="A40">
        <v>1750</v>
      </c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35">
      <c r="A41">
        <v>1750</v>
      </c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35">
      <c r="A42">
        <v>1750</v>
      </c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35">
      <c r="A43">
        <v>1750</v>
      </c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35">
      <c r="A44">
        <v>1750</v>
      </c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35">
      <c r="A45">
        <v>1750</v>
      </c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35">
      <c r="A46">
        <v>1750</v>
      </c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35">
      <c r="A47">
        <v>1750</v>
      </c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35">
      <c r="A48">
        <v>1750</v>
      </c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35">
      <c r="A49">
        <v>1750</v>
      </c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35">
      <c r="A50">
        <v>1750</v>
      </c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35">
      <c r="A51">
        <v>1750</v>
      </c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35">
      <c r="A52">
        <v>1750</v>
      </c>
      <c r="B52" t="s">
        <v>21</v>
      </c>
      <c r="C52" t="s">
        <v>94</v>
      </c>
      <c r="D52" t="s">
        <v>33</v>
      </c>
      <c r="H52">
        <v>41</v>
      </c>
      <c r="J52">
        <f t="shared" si="0"/>
        <v>41</v>
      </c>
      <c r="L52">
        <f t="shared" si="1"/>
        <v>1.8303571428571429E-2</v>
      </c>
    </row>
    <row r="53" spans="1:12" x14ac:dyDescent="0.35">
      <c r="A53">
        <v>1750</v>
      </c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35">
      <c r="A54">
        <v>1750</v>
      </c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35">
      <c r="A55">
        <v>1750</v>
      </c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35">
      <c r="A56">
        <v>1750</v>
      </c>
      <c r="B56" t="s">
        <v>87</v>
      </c>
      <c r="C56" t="s">
        <v>94</v>
      </c>
      <c r="D56" t="s">
        <v>33</v>
      </c>
      <c r="E56">
        <v>3</v>
      </c>
      <c r="J56">
        <f t="shared" si="0"/>
        <v>6720</v>
      </c>
      <c r="L56">
        <f t="shared" si="1"/>
        <v>3</v>
      </c>
    </row>
    <row r="57" spans="1:12" x14ac:dyDescent="0.35">
      <c r="A57">
        <v>1750</v>
      </c>
      <c r="B57" t="s">
        <v>62</v>
      </c>
      <c r="C57" t="s">
        <v>94</v>
      </c>
      <c r="D57" t="s">
        <v>33</v>
      </c>
      <c r="E57">
        <v>16</v>
      </c>
      <c r="J57">
        <f t="shared" si="0"/>
        <v>35840</v>
      </c>
      <c r="L57">
        <f t="shared" si="1"/>
        <v>16</v>
      </c>
    </row>
    <row r="58" spans="1:12" x14ac:dyDescent="0.35">
      <c r="A58">
        <v>1750</v>
      </c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35">
      <c r="A59">
        <v>1750</v>
      </c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35">
      <c r="A60">
        <v>1750</v>
      </c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35">
      <c r="A61">
        <v>1750</v>
      </c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35">
      <c r="A62">
        <v>1750</v>
      </c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35">
      <c r="A63">
        <v>1750</v>
      </c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35">
      <c r="A64">
        <v>1750</v>
      </c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35">
      <c r="A65">
        <v>1750</v>
      </c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35">
      <c r="A66">
        <v>1750</v>
      </c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35">
      <c r="A67">
        <v>1750</v>
      </c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35">
      <c r="A68">
        <v>1750</v>
      </c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35">
      <c r="A69">
        <v>1750</v>
      </c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35">
      <c r="A70">
        <v>1750</v>
      </c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35">
      <c r="A71">
        <v>1750</v>
      </c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35">
      <c r="A72">
        <v>1750</v>
      </c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35">
      <c r="A73">
        <v>1750</v>
      </c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35">
      <c r="A74">
        <v>1750</v>
      </c>
      <c r="B74" t="s">
        <v>6</v>
      </c>
      <c r="C74" t="s">
        <v>94</v>
      </c>
      <c r="D74" t="s">
        <v>35</v>
      </c>
      <c r="F74">
        <v>8895</v>
      </c>
      <c r="H74">
        <v>1</v>
      </c>
      <c r="J74">
        <f t="shared" si="2"/>
        <v>996241</v>
      </c>
      <c r="L74">
        <f t="shared" si="3"/>
        <v>444.75044642857142</v>
      </c>
    </row>
    <row r="75" spans="1:12" x14ac:dyDescent="0.35">
      <c r="A75">
        <v>1750</v>
      </c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35">
      <c r="A76">
        <v>1750</v>
      </c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35">
      <c r="A77">
        <v>1750</v>
      </c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35">
      <c r="A78">
        <v>1750</v>
      </c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35">
      <c r="A79">
        <v>1750</v>
      </c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35">
      <c r="A80">
        <v>1750</v>
      </c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35">
      <c r="A81">
        <v>1750</v>
      </c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35">
      <c r="A82">
        <v>1750</v>
      </c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35">
      <c r="A83">
        <v>1750</v>
      </c>
      <c r="B83" t="s">
        <v>9</v>
      </c>
      <c r="C83" t="s">
        <v>94</v>
      </c>
      <c r="D83" t="s">
        <v>35</v>
      </c>
      <c r="H83">
        <f>999.25*200</f>
        <v>199850</v>
      </c>
      <c r="I83" t="s">
        <v>164</v>
      </c>
      <c r="J83">
        <f t="shared" si="2"/>
        <v>199850</v>
      </c>
      <c r="L83">
        <f t="shared" si="3"/>
        <v>89.21875</v>
      </c>
    </row>
    <row r="84" spans="1:12" x14ac:dyDescent="0.35">
      <c r="A84">
        <v>1750</v>
      </c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35">
      <c r="A85">
        <v>1750</v>
      </c>
      <c r="B85" t="s">
        <v>11</v>
      </c>
      <c r="C85" t="s">
        <v>94</v>
      </c>
      <c r="D85" t="s">
        <v>35</v>
      </c>
      <c r="F85">
        <v>20</v>
      </c>
      <c r="G85">
        <v>2</v>
      </c>
      <c r="H85">
        <v>20</v>
      </c>
      <c r="J85">
        <f t="shared" si="2"/>
        <v>2316</v>
      </c>
      <c r="L85">
        <f t="shared" si="3"/>
        <v>1.0339285714285715</v>
      </c>
    </row>
    <row r="86" spans="1:12" x14ac:dyDescent="0.35">
      <c r="A86">
        <v>1750</v>
      </c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35">
      <c r="A87">
        <v>1750</v>
      </c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35">
      <c r="A88">
        <v>1750</v>
      </c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35">
      <c r="A89">
        <v>1750</v>
      </c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35">
      <c r="A90">
        <v>1750</v>
      </c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35">
      <c r="A91">
        <v>1750</v>
      </c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35">
      <c r="A92">
        <v>1750</v>
      </c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35">
      <c r="A93">
        <v>1750</v>
      </c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35">
      <c r="A94">
        <v>1750</v>
      </c>
      <c r="B94" t="s">
        <v>13</v>
      </c>
      <c r="C94" t="s">
        <v>94</v>
      </c>
      <c r="D94" t="s">
        <v>35</v>
      </c>
      <c r="E94">
        <v>69</v>
      </c>
      <c r="F94">
        <v>19</v>
      </c>
      <c r="G94">
        <v>3</v>
      </c>
      <c r="H94">
        <v>16</v>
      </c>
      <c r="J94">
        <f t="shared" si="2"/>
        <v>156788</v>
      </c>
      <c r="L94">
        <f t="shared" si="3"/>
        <v>69.994642857142864</v>
      </c>
    </row>
    <row r="95" spans="1:12" x14ac:dyDescent="0.35">
      <c r="A95">
        <v>1750</v>
      </c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35">
      <c r="A96">
        <v>1750</v>
      </c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35">
      <c r="A97">
        <v>1750</v>
      </c>
      <c r="B97" t="s">
        <v>27</v>
      </c>
      <c r="C97" t="s">
        <v>94</v>
      </c>
      <c r="D97" t="s">
        <v>35</v>
      </c>
      <c r="H97">
        <v>34839</v>
      </c>
      <c r="I97" t="s">
        <v>163</v>
      </c>
      <c r="J97">
        <f t="shared" si="2"/>
        <v>34839</v>
      </c>
      <c r="L97">
        <f t="shared" si="3"/>
        <v>15.553125</v>
      </c>
    </row>
    <row r="98" spans="1:12" x14ac:dyDescent="0.35">
      <c r="A98">
        <v>1750</v>
      </c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35">
      <c r="A99">
        <v>1750</v>
      </c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35">
      <c r="A100">
        <v>1750</v>
      </c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35">
      <c r="A101">
        <v>1750</v>
      </c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35">
      <c r="A102">
        <v>1750</v>
      </c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35">
      <c r="A103">
        <v>1750</v>
      </c>
      <c r="B103" t="s">
        <v>16</v>
      </c>
      <c r="C103" t="s">
        <v>94</v>
      </c>
      <c r="D103" t="s">
        <v>35</v>
      </c>
      <c r="H103">
        <v>1017</v>
      </c>
      <c r="J103">
        <f t="shared" si="2"/>
        <v>1017</v>
      </c>
      <c r="L103">
        <f t="shared" si="3"/>
        <v>0.45401785714285714</v>
      </c>
    </row>
    <row r="104" spans="1:12" x14ac:dyDescent="0.35">
      <c r="A104">
        <v>1750</v>
      </c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35">
      <c r="A105">
        <v>1750</v>
      </c>
      <c r="B105" t="s">
        <v>18</v>
      </c>
      <c r="C105" t="s">
        <v>94</v>
      </c>
      <c r="D105" t="s">
        <v>35</v>
      </c>
      <c r="H105">
        <v>18655</v>
      </c>
      <c r="I105" t="s">
        <v>162</v>
      </c>
      <c r="J105">
        <f t="shared" si="2"/>
        <v>18655</v>
      </c>
      <c r="L105">
        <f t="shared" si="3"/>
        <v>8.328125</v>
      </c>
    </row>
    <row r="106" spans="1:12" x14ac:dyDescent="0.35">
      <c r="A106">
        <v>1750</v>
      </c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35">
      <c r="A107">
        <v>1750</v>
      </c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35">
      <c r="A108">
        <v>1750</v>
      </c>
      <c r="B108" t="s">
        <v>19</v>
      </c>
      <c r="C108" t="s">
        <v>94</v>
      </c>
      <c r="D108" t="s">
        <v>35</v>
      </c>
      <c r="F108">
        <v>9</v>
      </c>
      <c r="J108">
        <f t="shared" si="2"/>
        <v>1008</v>
      </c>
      <c r="L108">
        <f t="shared" si="3"/>
        <v>0.45</v>
      </c>
    </row>
    <row r="109" spans="1:12" x14ac:dyDescent="0.35">
      <c r="A109">
        <v>1750</v>
      </c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35">
      <c r="A110">
        <v>1750</v>
      </c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35">
      <c r="A111">
        <v>1750</v>
      </c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35">
      <c r="A112">
        <v>1750</v>
      </c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35">
      <c r="A113">
        <v>1750</v>
      </c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35">
      <c r="A114">
        <v>1750</v>
      </c>
      <c r="B114" t="s">
        <v>21</v>
      </c>
      <c r="C114" t="s">
        <v>94</v>
      </c>
      <c r="D114" t="s">
        <v>35</v>
      </c>
      <c r="H114">
        <v>100</v>
      </c>
      <c r="J114">
        <f t="shared" si="2"/>
        <v>100</v>
      </c>
      <c r="L114">
        <f t="shared" si="3"/>
        <v>4.4642857142857144E-2</v>
      </c>
    </row>
    <row r="115" spans="1:12" x14ac:dyDescent="0.35">
      <c r="A115">
        <v>1750</v>
      </c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35">
      <c r="A116">
        <v>1750</v>
      </c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35">
      <c r="A117">
        <v>1750</v>
      </c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35">
      <c r="A118">
        <v>1750</v>
      </c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35">
      <c r="A119">
        <v>1750</v>
      </c>
      <c r="B119" t="s">
        <v>87</v>
      </c>
      <c r="C119" t="s">
        <v>94</v>
      </c>
      <c r="D119" t="s">
        <v>35</v>
      </c>
      <c r="E119">
        <v>3</v>
      </c>
      <c r="J119">
        <f t="shared" si="2"/>
        <v>6720</v>
      </c>
      <c r="L119">
        <f t="shared" si="3"/>
        <v>3</v>
      </c>
    </row>
    <row r="120" spans="1:12" x14ac:dyDescent="0.35">
      <c r="A120">
        <v>1750</v>
      </c>
      <c r="B120" t="s">
        <v>62</v>
      </c>
      <c r="C120" t="s">
        <v>94</v>
      </c>
      <c r="D120" t="s">
        <v>35</v>
      </c>
      <c r="E120">
        <v>279</v>
      </c>
      <c r="F120">
        <v>14</v>
      </c>
      <c r="G120">
        <v>3</v>
      </c>
      <c r="J120">
        <f t="shared" si="2"/>
        <v>626612</v>
      </c>
      <c r="L120">
        <f t="shared" si="3"/>
        <v>279.73750000000001</v>
      </c>
    </row>
    <row r="121" spans="1:12" x14ac:dyDescent="0.35">
      <c r="A121">
        <v>1750</v>
      </c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35">
      <c r="A122">
        <v>1750</v>
      </c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35">
      <c r="A123">
        <v>1750</v>
      </c>
      <c r="B123" t="s">
        <v>89</v>
      </c>
      <c r="C123" t="s">
        <v>94</v>
      </c>
      <c r="D123" t="s">
        <v>35</v>
      </c>
      <c r="E123">
        <v>7</v>
      </c>
      <c r="F123">
        <v>12</v>
      </c>
      <c r="J123">
        <f t="shared" si="2"/>
        <v>17024</v>
      </c>
      <c r="L123">
        <f t="shared" si="3"/>
        <v>7.6</v>
      </c>
    </row>
    <row r="124" spans="1:12" x14ac:dyDescent="0.35">
      <c r="A124">
        <v>1750</v>
      </c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35">
      <c r="A125">
        <v>1750</v>
      </c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35">
      <c r="A126">
        <v>1750</v>
      </c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70" workbookViewId="0">
      <selection activeCell="A2" sqref="A2"/>
    </sheetView>
  </sheetViews>
  <sheetFormatPr defaultRowHeight="14.5" x14ac:dyDescent="0.35"/>
  <cols>
    <col min="1" max="1" width="10.90625" customWidth="1"/>
    <col min="2" max="3" width="19.36328125" customWidth="1"/>
    <col min="4" max="4" width="12.90625" customWidth="1"/>
    <col min="7" max="7" width="11.36328125" customWidth="1"/>
    <col min="8" max="9" width="14" customWidth="1"/>
  </cols>
  <sheetData>
    <row r="1" spans="1:1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35"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35"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35"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35"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35"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35"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35"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35"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35"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35"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35"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35">
      <c r="B13" t="s">
        <v>6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35"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35"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35"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35"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35"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35"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35"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35"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35"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35"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35"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35"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35"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35"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35"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35"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35"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35"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35"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35"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35"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35"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35"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35"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35"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35"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35"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35"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35"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35"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35">
      <c r="B44" t="s">
        <v>18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35"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35"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35"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35"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35"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35"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35"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35"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35"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35"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35"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35"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35"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35"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35"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35"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35"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35"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35"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35"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2:12" x14ac:dyDescent="0.35"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2:12" x14ac:dyDescent="0.35"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35"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35"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2:12" x14ac:dyDescent="0.35"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2:12" x14ac:dyDescent="0.35"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35"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35"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35"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35"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35"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35"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35"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35"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35"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35"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35"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35"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35"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35"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35"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35"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35"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35"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35"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35"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35"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35"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35"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35"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35"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35"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35"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35"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35"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35"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35"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35"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35"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35"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35"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35"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35"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35"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35"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35"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35"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35"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35"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35"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35"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35"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35"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35"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35"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35"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35"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35"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35"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35"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35"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35"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2:12" x14ac:dyDescent="0.35"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2:12" x14ac:dyDescent="0.35"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2025-04-30T23:53:36Z</dcterms:modified>
</cp:coreProperties>
</file>