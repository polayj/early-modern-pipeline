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823" documentId="8_{6EF90C5F-37F3-4F64-BD67-0AAC340A3A3E}" xr6:coauthVersionLast="47" xr6:coauthVersionMax="47" xr10:uidLastSave="{6A854D3C-1E10-4565-AE01-91FC1CE0B60E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Barbados!$A$1:$N$58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C60" i="1"/>
  <c r="B60" i="1"/>
  <c r="D73" i="1"/>
  <c r="C73" i="1"/>
  <c r="B73" i="1"/>
  <c r="C63" i="1"/>
  <c r="B63" i="1"/>
  <c r="D63" i="1" s="1"/>
  <c r="C49" i="1"/>
  <c r="B49" i="1"/>
  <c r="D49" i="1" s="1"/>
  <c r="C47" i="1"/>
  <c r="B47" i="1"/>
  <c r="C24" i="1"/>
  <c r="B24" i="1"/>
  <c r="C11" i="1"/>
  <c r="B11" i="1"/>
  <c r="C7" i="1"/>
  <c r="B7" i="1"/>
  <c r="D7" i="1" s="1"/>
  <c r="C35" i="1"/>
  <c r="C36" i="1"/>
  <c r="C37" i="1"/>
  <c r="C38" i="1"/>
  <c r="C39" i="1"/>
  <c r="C40" i="1"/>
  <c r="C41" i="1"/>
  <c r="C42" i="1"/>
  <c r="C43" i="1"/>
  <c r="C44" i="1"/>
  <c r="C45" i="1"/>
  <c r="C46" i="1"/>
  <c r="C48" i="1"/>
  <c r="C50" i="1"/>
  <c r="C51" i="1"/>
  <c r="C52" i="1"/>
  <c r="C53" i="1"/>
  <c r="C54" i="1"/>
  <c r="C55" i="1"/>
  <c r="C56" i="1"/>
  <c r="C57" i="1"/>
  <c r="C58" i="1"/>
  <c r="C59" i="1"/>
  <c r="C61" i="1"/>
  <c r="C62" i="1"/>
  <c r="C64" i="1"/>
  <c r="C65" i="1"/>
  <c r="C66" i="1"/>
  <c r="C67" i="1"/>
  <c r="C68" i="1"/>
  <c r="C69" i="1"/>
  <c r="C70" i="1"/>
  <c r="C71" i="1"/>
  <c r="C72" i="1"/>
  <c r="C74" i="1"/>
  <c r="B3" i="1"/>
  <c r="B4" i="1"/>
  <c r="B5" i="1"/>
  <c r="B6" i="1"/>
  <c r="B8" i="1"/>
  <c r="B9" i="1"/>
  <c r="B10" i="1"/>
  <c r="B12" i="1"/>
  <c r="B13" i="1"/>
  <c r="B14" i="1"/>
  <c r="B15" i="1"/>
  <c r="B16" i="1"/>
  <c r="B17" i="1"/>
  <c r="B18" i="1"/>
  <c r="B19" i="1"/>
  <c r="B20" i="1"/>
  <c r="B21" i="1"/>
  <c r="B22" i="1"/>
  <c r="B23" i="1"/>
  <c r="B25" i="1"/>
  <c r="B26" i="1"/>
  <c r="B27" i="1"/>
  <c r="B28" i="1"/>
  <c r="B29" i="1"/>
  <c r="B30" i="1"/>
  <c r="B31" i="1"/>
  <c r="B32" i="1"/>
  <c r="B33" i="1"/>
  <c r="B34" i="1"/>
  <c r="B35" i="1"/>
  <c r="D35" i="1" s="1"/>
  <c r="B36" i="1"/>
  <c r="D36" i="1" s="1"/>
  <c r="B37" i="1"/>
  <c r="B38" i="1"/>
  <c r="D38" i="1" s="1"/>
  <c r="B39" i="1"/>
  <c r="D39" i="1" s="1"/>
  <c r="B40" i="1"/>
  <c r="B41" i="1"/>
  <c r="B42" i="1"/>
  <c r="D42" i="1" s="1"/>
  <c r="B43" i="1"/>
  <c r="B44" i="1"/>
  <c r="B45" i="1"/>
  <c r="B46" i="1"/>
  <c r="D46" i="1" s="1"/>
  <c r="B48" i="1"/>
  <c r="D48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B56" i="1"/>
  <c r="D56" i="1" s="1"/>
  <c r="B57" i="1"/>
  <c r="B58" i="1"/>
  <c r="B59" i="1"/>
  <c r="D59" i="1" s="1"/>
  <c r="B61" i="1"/>
  <c r="B62" i="1"/>
  <c r="B64" i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4" i="1"/>
  <c r="H83" i="10"/>
  <c r="H84" i="8"/>
  <c r="H84" i="7"/>
  <c r="H83" i="6"/>
  <c r="H88" i="5"/>
  <c r="H71" i="3"/>
  <c r="L102" i="3"/>
  <c r="J102" i="3"/>
  <c r="J99" i="3"/>
  <c r="L99" i="3" s="1"/>
  <c r="J78" i="3"/>
  <c r="L78" i="3" s="1"/>
  <c r="J60" i="3"/>
  <c r="L60" i="3" s="1"/>
  <c r="H87" i="2"/>
  <c r="J119" i="2"/>
  <c r="L119" i="2" s="1"/>
  <c r="H22" i="10"/>
  <c r="H22" i="8"/>
  <c r="L42" i="8"/>
  <c r="J42" i="8"/>
  <c r="H22" i="7"/>
  <c r="L54" i="7"/>
  <c r="J54" i="7"/>
  <c r="H22" i="6"/>
  <c r="H24" i="5"/>
  <c r="J44" i="5"/>
  <c r="L44" i="5" s="1"/>
  <c r="J8" i="5"/>
  <c r="L8" i="5" s="1"/>
  <c r="H6" i="4"/>
  <c r="J15" i="4"/>
  <c r="L15" i="4" s="1"/>
  <c r="J8" i="4"/>
  <c r="L8" i="4" s="1"/>
  <c r="J2" i="4"/>
  <c r="L2" i="4" s="1"/>
  <c r="H20" i="3"/>
  <c r="J51" i="3"/>
  <c r="L51" i="3" s="1"/>
  <c r="J36" i="3"/>
  <c r="L36" i="3" s="1"/>
  <c r="J24" i="3"/>
  <c r="L24" i="3" s="1"/>
  <c r="J18" i="3"/>
  <c r="L18" i="3" s="1"/>
  <c r="J7" i="3"/>
  <c r="L7" i="3" s="1"/>
  <c r="H24" i="2"/>
  <c r="J65" i="2"/>
  <c r="L65" i="2" s="1"/>
  <c r="H21" i="9"/>
  <c r="J8" i="2"/>
  <c r="L8" i="2" s="1"/>
  <c r="J88" i="9"/>
  <c r="L88" i="9" s="1"/>
  <c r="J87" i="9"/>
  <c r="L87" i="9" s="1"/>
  <c r="J86" i="9"/>
  <c r="L86" i="9" s="1"/>
  <c r="J85" i="9"/>
  <c r="L85" i="9" s="1"/>
  <c r="J84" i="9"/>
  <c r="L84" i="9" s="1"/>
  <c r="J83" i="9"/>
  <c r="L83" i="9" s="1"/>
  <c r="J82" i="9"/>
  <c r="L82" i="9" s="1"/>
  <c r="L81" i="9"/>
  <c r="J81" i="9"/>
  <c r="J80" i="9"/>
  <c r="L80" i="9" s="1"/>
  <c r="J79" i="9"/>
  <c r="L79" i="9" s="1"/>
  <c r="J78" i="9"/>
  <c r="L78" i="9" s="1"/>
  <c r="J77" i="9"/>
  <c r="L77" i="9" s="1"/>
  <c r="J76" i="9"/>
  <c r="L76" i="9" s="1"/>
  <c r="J75" i="9"/>
  <c r="L75" i="9" s="1"/>
  <c r="J74" i="9"/>
  <c r="L74" i="9" s="1"/>
  <c r="J73" i="9"/>
  <c r="L73" i="9" s="1"/>
  <c r="J72" i="9"/>
  <c r="L72" i="9" s="1"/>
  <c r="L71" i="9"/>
  <c r="J71" i="9"/>
  <c r="J70" i="9"/>
  <c r="L70" i="9" s="1"/>
  <c r="J69" i="9"/>
  <c r="L69" i="9" s="1"/>
  <c r="J68" i="9"/>
  <c r="L68" i="9" s="1"/>
  <c r="J67" i="9"/>
  <c r="L67" i="9" s="1"/>
  <c r="J66" i="9"/>
  <c r="L66" i="9" s="1"/>
  <c r="J65" i="9"/>
  <c r="L65" i="9" s="1"/>
  <c r="J64" i="9"/>
  <c r="L64" i="9" s="1"/>
  <c r="J63" i="9"/>
  <c r="L63" i="9" s="1"/>
  <c r="J62" i="9"/>
  <c r="L62" i="9" s="1"/>
  <c r="L61" i="9"/>
  <c r="J61" i="9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L51" i="9"/>
  <c r="J51" i="9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L41" i="9"/>
  <c r="J41" i="9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L31" i="9"/>
  <c r="J31" i="9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L11" i="9"/>
  <c r="J11" i="9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J3" i="9"/>
  <c r="L3" i="9" s="1"/>
  <c r="J2" i="9"/>
  <c r="L2" i="9" s="1"/>
  <c r="C21" i="1"/>
  <c r="C26" i="1"/>
  <c r="C27" i="1"/>
  <c r="J120" i="5"/>
  <c r="L120" i="5" s="1"/>
  <c r="J74" i="5"/>
  <c r="L74" i="5" s="1"/>
  <c r="J89" i="3"/>
  <c r="L89" i="3" s="1"/>
  <c r="J120" i="2"/>
  <c r="L120" i="2" s="1"/>
  <c r="L54" i="11"/>
  <c r="J54" i="11"/>
  <c r="J10" i="11"/>
  <c r="L10" i="11" s="1"/>
  <c r="J56" i="5"/>
  <c r="L56" i="5" s="1"/>
  <c r="J9" i="5"/>
  <c r="L9" i="5" s="1"/>
  <c r="J17" i="4"/>
  <c r="L17" i="4" s="1"/>
  <c r="J19" i="4"/>
  <c r="L19" i="4" s="1"/>
  <c r="J14" i="4"/>
  <c r="L14" i="4" s="1"/>
  <c r="J11" i="4"/>
  <c r="L11" i="4" s="1"/>
  <c r="J7" i="4"/>
  <c r="L7" i="4" s="1"/>
  <c r="J25" i="3"/>
  <c r="L25" i="3" s="1"/>
  <c r="J30" i="2"/>
  <c r="L30" i="2" s="1"/>
  <c r="J9" i="2"/>
  <c r="L9" i="2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J120" i="10"/>
  <c r="L120" i="10" s="1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L69" i="8"/>
  <c r="J69" i="8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C3" i="1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100" i="3"/>
  <c r="L100" i="3" s="1"/>
  <c r="J101" i="3"/>
  <c r="L101" i="3" s="1"/>
  <c r="J103" i="3"/>
  <c r="L103" i="3" s="1"/>
  <c r="J104" i="3"/>
  <c r="L104" i="3" s="1"/>
  <c r="J105" i="3"/>
  <c r="L105" i="3" s="1"/>
  <c r="J106" i="3"/>
  <c r="L106" i="3" s="1"/>
  <c r="J107" i="3"/>
  <c r="L107" i="3" s="1"/>
  <c r="J108" i="3"/>
  <c r="L108" i="3" s="1"/>
  <c r="C34" i="1" s="1"/>
  <c r="J4" i="4"/>
  <c r="L4" i="4" s="1"/>
  <c r="J5" i="4"/>
  <c r="L5" i="4" s="1"/>
  <c r="J6" i="4"/>
  <c r="L6" i="4" s="1"/>
  <c r="J9" i="4"/>
  <c r="L9" i="4" s="1"/>
  <c r="J10" i="4"/>
  <c r="L10" i="4" s="1"/>
  <c r="J12" i="4"/>
  <c r="L12" i="4" s="1"/>
  <c r="J13" i="4"/>
  <c r="L13" i="4" s="1"/>
  <c r="J16" i="4"/>
  <c r="L16" i="4" s="1"/>
  <c r="J18" i="4"/>
  <c r="L18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D37" i="1" l="1"/>
  <c r="D74" i="1"/>
  <c r="D55" i="1"/>
  <c r="D24" i="1"/>
  <c r="D11" i="1"/>
  <c r="D47" i="1"/>
  <c r="D58" i="1"/>
  <c r="D41" i="1"/>
  <c r="D62" i="1"/>
  <c r="D44" i="1"/>
  <c r="D61" i="1"/>
  <c r="D43" i="1"/>
  <c r="D64" i="1"/>
  <c r="D45" i="1"/>
  <c r="D57" i="1"/>
  <c r="D40" i="1"/>
  <c r="C25" i="1"/>
  <c r="C28" i="1"/>
  <c r="C13" i="1"/>
  <c r="C29" i="1"/>
  <c r="C32" i="1"/>
  <c r="C14" i="1"/>
  <c r="C33" i="1"/>
  <c r="C15" i="1"/>
  <c r="C16" i="1"/>
  <c r="C17" i="1"/>
  <c r="C2" i="1"/>
  <c r="C18" i="1"/>
  <c r="B2" i="1"/>
  <c r="C4" i="1"/>
  <c r="C19" i="1"/>
  <c r="C5" i="1"/>
  <c r="D5" i="1" s="1"/>
  <c r="C20" i="1"/>
  <c r="C6" i="1"/>
  <c r="C8" i="1"/>
  <c r="C9" i="1"/>
  <c r="C22" i="1"/>
  <c r="C10" i="1"/>
  <c r="C23" i="1"/>
  <c r="C12" i="1"/>
  <c r="C30" i="1"/>
  <c r="C31" i="1"/>
  <c r="D27" i="1"/>
  <c r="D26" i="1"/>
  <c r="J2" i="5"/>
  <c r="L2" i="5" s="1"/>
  <c r="J3" i="4"/>
  <c r="L3" i="4" s="1"/>
  <c r="J2" i="3"/>
  <c r="L2" i="3" s="1"/>
  <c r="D15" i="1" l="1"/>
  <c r="D16" i="1"/>
  <c r="D19" i="1"/>
  <c r="D12" i="1"/>
  <c r="D28" i="1"/>
  <c r="D34" i="1"/>
  <c r="D17" i="1"/>
  <c r="D18" i="1"/>
  <c r="D25" i="1"/>
  <c r="D30" i="1"/>
  <c r="D3" i="1"/>
  <c r="D4" i="1"/>
  <c r="D29" i="1"/>
  <c r="D20" i="1"/>
  <c r="D22" i="1"/>
  <c r="D6" i="1"/>
  <c r="D31" i="1"/>
  <c r="D10" i="1"/>
  <c r="D13" i="1"/>
  <c r="D2" i="1"/>
  <c r="D23" i="1"/>
  <c r="D8" i="1"/>
  <c r="D21" i="1"/>
  <c r="D9" i="1"/>
  <c r="D33" i="1"/>
  <c r="D14" i="1"/>
  <c r="D32" i="1"/>
</calcChain>
</file>

<file path=xl/sharedStrings.xml><?xml version="1.0" encoding="utf-8"?>
<sst xmlns="http://schemas.openxmlformats.org/spreadsheetml/2006/main" count="3576" uniqueCount="168">
  <si>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</si>
  <si>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</si>
  <si>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</si>
  <si>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</si>
  <si>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</si>
  <si>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</si>
  <si>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</si>
  <si>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</si>
  <si>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</si>
  <si>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</si>
  <si>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</si>
  <si>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</si>
  <si>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</si>
  <si>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</si>
  <si>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</si>
  <si>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</si>
  <si>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</si>
  <si>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</si>
  <si>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</si>
  <si>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</si>
  <si>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</si>
  <si>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</si>
  <si>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</si>
  <si>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</si>
  <si>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</si>
  <si>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</si>
  <si>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</si>
  <si>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</si>
  <si>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</si>
  <si>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</si>
  <si>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</si>
  <si>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</si>
  <si>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</si>
  <si>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</si>
  <si>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</si>
  <si>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</si>
  <si>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</si>
  <si>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</si>
  <si>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</si>
  <si>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</si>
  <si>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</si>
  <si>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</si>
  <si>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</si>
  <si>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</si>
  <si>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</si>
  <si>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</si>
  <si>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</si>
  <si>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</si>
  <si>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</si>
  <si>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</si>
  <si>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</si>
  <si>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</si>
  <si>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</si>
  <si>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</si>
  <si>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</si>
  <si>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</si>
  <si>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</si>
  <si>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</si>
  <si>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</si>
  <si>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</si>
  <si>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</si>
  <si>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</si>
  <si>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</si>
  <si>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</si>
  <si>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</si>
  <si>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</si>
  <si>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</si>
  <si>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</si>
  <si>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</si>
  <si>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</si>
  <si>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</si>
  <si>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</si>
  <si>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</si>
  <si>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</si>
  <si>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</si>
  <si>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</si>
  <si>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</si>
  <si>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</si>
  <si>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</si>
  <si>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</si>
  <si>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</si>
  <si>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</si>
  <si>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</si>
  <si>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</si>
  <si>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</si>
  <si>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</si>
  <si>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</si>
  <si>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</si>
  <si>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</si>
  <si>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</si>
  <si>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</si>
  <si>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</si>
  <si>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</si>
  <si>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</si>
  <si>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</si>
  <si>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</si>
  <si>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</si>
  <si>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</si>
  <si>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</si>
  <si>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</si>
  <si>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</si>
  <si>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</si>
  <si>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</si>
  <si>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Jollop</t>
  </si>
  <si>
    <t>Balsam Artificial</t>
  </si>
  <si>
    <t>24g</t>
  </si>
  <si>
    <t>20bags</t>
  </si>
  <si>
    <t>10g</t>
  </si>
  <si>
    <t>52154g</t>
  </si>
  <si>
    <t>89t 8g</t>
  </si>
  <si>
    <t>Wood, Pidgeonwood</t>
  </si>
  <si>
    <t>90bags</t>
  </si>
  <si>
    <t>Archelia</t>
  </si>
  <si>
    <t>Cortex Eletheria</t>
  </si>
  <si>
    <t>Pig Iron</t>
  </si>
  <si>
    <t>31g</t>
  </si>
  <si>
    <t>19497.75g</t>
  </si>
  <si>
    <t>134t 1g</t>
  </si>
  <si>
    <t>1196.5bags</t>
  </si>
  <si>
    <t>59g</t>
  </si>
  <si>
    <t>45bags</t>
  </si>
  <si>
    <t>400g</t>
  </si>
  <si>
    <t>15g</t>
  </si>
  <si>
    <t>636156.5g</t>
  </si>
  <si>
    <t>70t 5g</t>
  </si>
  <si>
    <t>Port</t>
  </si>
  <si>
    <t>1h 19g</t>
  </si>
  <si>
    <t>Wood, Rosewood</t>
  </si>
  <si>
    <t>1078bags</t>
  </si>
  <si>
    <t>8629g</t>
  </si>
  <si>
    <t>56t 1h 3g</t>
  </si>
  <si>
    <t>120bags</t>
  </si>
  <si>
    <t>1940g</t>
  </si>
  <si>
    <t>1t 2h 21g</t>
  </si>
  <si>
    <t>Wood, Boxwood</t>
  </si>
  <si>
    <t>54bags</t>
  </si>
  <si>
    <t>1.25g</t>
  </si>
  <si>
    <t>13438.5g</t>
  </si>
  <si>
    <t>51t 2h 28g</t>
  </si>
  <si>
    <t>5t 1h 19g</t>
  </si>
  <si>
    <t>121.5bags</t>
  </si>
  <si>
    <t>105g</t>
  </si>
  <si>
    <t>122.75bags</t>
  </si>
  <si>
    <t>2g</t>
  </si>
  <si>
    <t>8047g</t>
  </si>
  <si>
    <t>9t 2g</t>
  </si>
  <si>
    <t>260bags</t>
  </si>
  <si>
    <t>Balsam Peru</t>
  </si>
  <si>
    <t>11g</t>
  </si>
  <si>
    <t>13878.5g</t>
  </si>
  <si>
    <t>27t 3h 24g</t>
  </si>
  <si>
    <t>970.25bags</t>
  </si>
  <si>
    <t>19g</t>
  </si>
  <si>
    <t>170497g</t>
  </si>
  <si>
    <t>30t 3h 30g</t>
  </si>
  <si>
    <t>1682bags</t>
  </si>
  <si>
    <t>2440g</t>
  </si>
  <si>
    <t>153bags</t>
  </si>
  <si>
    <t>175g</t>
  </si>
  <si>
    <t>4t 1h</t>
  </si>
  <si>
    <t>131.5bags</t>
  </si>
  <si>
    <t>2707g</t>
  </si>
  <si>
    <t>1t 2h 16g</t>
  </si>
  <si>
    <t>118.25bags</t>
  </si>
  <si>
    <t>260g</t>
  </si>
  <si>
    <t>761bags</t>
  </si>
  <si>
    <t>Barbados Tarr</t>
  </si>
  <si>
    <t>Lemon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</si>
</sst>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H74"/>
  <sheetViews>
    <sheetView tabSelected="1" topLeftCell="A31" zoomScale="70" zoomScaleNormal="70" workbookViewId="0">
      <selection activeCell="D61" sqref="D6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  <col min="7" max="7" width="18.710937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 s="1" t="s">
        <v>47</v>
      </c>
    </row>
    <row r="2" spans="1:8" x14ac:dyDescent="0.25">
      <c r="A2" t="s">
        <v>53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 + SUMIFS(Anguilla!$L:$L, Anguilla!$B:$B, $A2, Anguilla!$D:$D, "London") + SUMIFS(Tortola!$L:$L, Tortola!$B:$B, $A2, Tortola!$D:$D,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"Out Ports") + SUMIFS(Anguilla!$L:$L, Anguilla!$B:$B, $A2, Anguilla!$D:$D, "Out Ports") + SUMIFS(Tortola!$L:$L, Tortola!$B:$B, $A2, Tortola!$D:$D, "Out Ports")</f>
        <v>0</v>
      </c>
      <c r="D2">
        <f>B2+C2</f>
        <v>0</v>
      </c>
    </row>
    <row r="3" spans="1:8" x14ac:dyDescent="0.25">
      <c r="A3" t="s">
        <v>55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 + SUMIFS(Anguilla!$L:$L, Anguilla!$B:$B, $A3, Anguilla!$D:$D, "London") + SUMIFS(Tortola!$L:$L, Tortola!$B:$B, $A3, Tortola!$D:$D,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"Out Ports") + SUMIFS(Anguilla!$L:$L, Anguilla!$B:$B, $A3, Anguilla!$D:$D, "Out Ports") + SUMIFS(Tortola!$L:$L, Tortola!$B:$B, $A3, Tortola!$D:$D, "Out Ports")</f>
        <v>0</v>
      </c>
      <c r="D3">
        <f t="shared" ref="D3:D73" si="0">B3+C3</f>
        <v>0</v>
      </c>
    </row>
    <row r="4" spans="1:8" x14ac:dyDescent="0.25">
      <c r="A4" t="s">
        <v>34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 + SUMIFS(Anguilla!$L:$L, Anguilla!$B:$B, $A4, Anguilla!$D:$D, "London") + SUMIFS(Tortola!$L:$L, Tortola!$B:$B, $A4, Tortola!$D:$D, "London")</f>
        <v>7.8370535714285712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"Out Ports") + SUMIFS(Anguilla!$L:$L, Anguilla!$B:$B, $A4, Anguilla!$D:$D, "Out Ports") + SUMIFS(Tortola!$L:$L, Tortola!$B:$B, $A4, Tortola!$D:$D, "Out Ports")</f>
        <v>0.7544642857142857</v>
      </c>
      <c r="D4">
        <f t="shared" si="0"/>
        <v>8.5915178571428577</v>
      </c>
    </row>
    <row r="5" spans="1:8" x14ac:dyDescent="0.25">
      <c r="A5" t="s">
        <v>4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 + SUMIFS(Anguilla!$L:$L, Anguilla!$B:$B, $A5, Anguilla!$D:$D, "London") + SUMIFS(Tortola!$L:$L, Tortola!$B:$B, $A5, Tortola!$D:$D,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"Out Ports") + SUMIFS(Anguilla!$L:$L, Anguilla!$B:$B, $A5, Anguilla!$D:$D, "Out Ports") + SUMIFS(Tortola!$L:$L, Tortola!$B:$B, $A5, Tortola!$D:$D, "Out Ports")</f>
        <v>0</v>
      </c>
      <c r="D5">
        <f t="shared" si="0"/>
        <v>0</v>
      </c>
    </row>
    <row r="6" spans="1:8" x14ac:dyDescent="0.25">
      <c r="A6" t="s">
        <v>56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 + SUMIFS(Anguilla!$L:$L, Anguilla!$B:$B, $A6, Anguilla!$D:$D, "London") + SUMIFS(Tortola!$L:$L, Tortola!$B:$B, $A6, Tortola!$D:$D,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"Out Ports") + SUMIFS(Anguilla!$L:$L, Anguilla!$B:$B, $A6, Anguilla!$D:$D, "Out Ports") + SUMIFS(Tortola!$L:$L, Tortola!$B:$B, $A6, Tortola!$D:$D, "Out Ports")</f>
        <v>0</v>
      </c>
      <c r="D6">
        <f t="shared" si="0"/>
        <v>0</v>
      </c>
    </row>
    <row r="7" spans="1:8" x14ac:dyDescent="0.25">
      <c r="A7" t="s">
        <v>112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 + SUMIFS(Anguilla!$L:$L, Anguilla!$B:$B, $A7, Anguilla!$D:$D, "London") + SUMIFS(Tortola!$L:$L, Tortola!$B:$B, $A7, Tortola!$D:$D, "London")</f>
        <v>3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"Out Ports") + SUMIFS(Anguilla!$L:$L, Anguilla!$B:$B, $A7, Anguilla!$D:$D, "Out Ports") + SUMIFS(Tortola!$L:$L, Tortola!$B:$B, $A7, Tortola!$D:$D, "Out Ports")</f>
        <v>0</v>
      </c>
      <c r="D7">
        <f t="shared" si="0"/>
        <v>3</v>
      </c>
    </row>
    <row r="8" spans="1:8" x14ac:dyDescent="0.25">
      <c r="A8" t="s">
        <v>67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 + SUMIFS(Anguilla!$L:$L, Anguilla!$B:$B, $A8, Anguilla!$D:$D, "London") + SUMIFS(Tortola!$L:$L, Tortola!$B:$B, $A8, Tortola!$D:$D, "London")</f>
        <v>0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"Out Ports") + SUMIFS(Anguilla!$L:$L, Anguilla!$B:$B, $A8, Anguilla!$D:$D, "Out Ports") + SUMIFS(Tortola!$L:$L, Tortola!$B:$B, $A8, Tortola!$D:$D, "Out Ports")</f>
        <v>0</v>
      </c>
      <c r="D8">
        <f t="shared" si="0"/>
        <v>0</v>
      </c>
    </row>
    <row r="9" spans="1:8" x14ac:dyDescent="0.25">
      <c r="A9" t="s">
        <v>104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 + SUMIFS(Anguilla!$L:$L, Anguilla!$B:$B, $A9, Anguilla!$D:$D, "London") + SUMIFS(Tortola!$L:$L, Tortola!$B:$B, $A9, Tortola!$D:$D, "London")</f>
        <v>1.4513392857142857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"Out Ports") + SUMIFS(Anguilla!$L:$L, Anguilla!$B:$B, $A9, Anguilla!$D:$D, "Out Ports") + SUMIFS(Tortola!$L:$L, Tortola!$B:$B, $A9, Tortola!$D:$D, "Out Ports")</f>
        <v>0</v>
      </c>
      <c r="D9">
        <f t="shared" si="0"/>
        <v>1.4513392857142857</v>
      </c>
    </row>
    <row r="10" spans="1:8" x14ac:dyDescent="0.25">
      <c r="A10" t="s">
        <v>97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 + SUMIFS(Anguilla!$L:$L, Anguilla!$B:$B, $A10, Anguilla!$D:$D, "London") + SUMIFS(Tortola!$L:$L, Tortola!$B:$B, $A10, Tortola!$D:$D, "London")</f>
        <v>0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"Out Ports") + SUMIFS(Anguilla!$L:$L, Anguilla!$B:$B, $A10, Anguilla!$D:$D, "Out Ports") + SUMIFS(Tortola!$L:$L, Tortola!$B:$B, $A10, Tortola!$D:$D, "Out Ports")</f>
        <v>0</v>
      </c>
      <c r="D10">
        <f t="shared" si="0"/>
        <v>0</v>
      </c>
    </row>
    <row r="11" spans="1:8" x14ac:dyDescent="0.25">
      <c r="A11" t="s">
        <v>166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 + SUMIFS(Anguilla!$L:$L, Anguilla!$B:$B, $A11, Anguilla!$D:$D, "London") + SUMIFS(Tortola!$L:$L, Tortola!$B:$B, $A11, Tortola!$D:$D, "London")</f>
        <v>1.4883928571428571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"Out Ports") + SUMIFS(Anguilla!$L:$L, Anguilla!$B:$B, $A11, Anguilla!$D:$D, "Out Ports") + SUMIFS(Tortola!$L:$L, Tortola!$B:$B, $A11, Tortola!$D:$D, "Out Ports")</f>
        <v>0</v>
      </c>
      <c r="D11">
        <f t="shared" si="0"/>
        <v>1.4883928571428571</v>
      </c>
    </row>
    <row r="12" spans="1:8" x14ac:dyDescent="0.25">
      <c r="A12" t="s">
        <v>41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 + SUMIFS(Anguilla!$L:$L, Anguilla!$B:$B, $A12, Anguilla!$D:$D, "London") + SUMIFS(Tortola!$L:$L, Tortola!$B:$B, $A12, Tortola!$D:$D,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"Out Ports") + SUMIFS(Anguilla!$L:$L, Anguilla!$B:$B, $A12, Anguilla!$D:$D, "Out Ports") + SUMIFS(Tortola!$L:$L, Tortola!$B:$B, $A12, Tortola!$D:$D, "Out Ports")</f>
        <v>0</v>
      </c>
      <c r="D12">
        <f t="shared" si="0"/>
        <v>0</v>
      </c>
    </row>
    <row r="13" spans="1:8" x14ac:dyDescent="0.25">
      <c r="A13" t="s">
        <v>74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 + SUMIFS(Anguilla!$L:$L, Anguilla!$B:$B, $A13, Anguilla!$D:$D, "London") + SUMIFS(Tortola!$L:$L, Tortola!$B:$B, $A13, Tortola!$D:$D, "London")</f>
        <v>0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"Out Ports") + SUMIFS(Anguilla!$L:$L, Anguilla!$B:$B, $A13, Anguilla!$D:$D, "Out Ports") + SUMIFS(Tortola!$L:$L, Tortola!$B:$B, $A13, Tortola!$D:$D, "Out Ports")</f>
        <v>0</v>
      </c>
      <c r="D13">
        <f t="shared" si="0"/>
        <v>0</v>
      </c>
    </row>
    <row r="14" spans="1:8" x14ac:dyDescent="0.25">
      <c r="A14" t="s">
        <v>5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 + SUMIFS(Anguilla!$L:$L, Anguilla!$B:$B, $A14, Anguilla!$D:$D, "London") + SUMIFS(Tortola!$L:$L, Tortola!$B:$B, $A14, Tortola!$D:$D, "London")</f>
        <v>1.8602678571428573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"Out Ports") + SUMIFS(Anguilla!$L:$L, Anguilla!$B:$B, $A14, Anguilla!$D:$D, "Out Ports") + SUMIFS(Tortola!$L:$L, Tortola!$B:$B, $A14, Tortola!$D:$D, "Out Ports")</f>
        <v>2.8214285714285716</v>
      </c>
      <c r="D14">
        <f t="shared" si="0"/>
        <v>4.6816964285714286</v>
      </c>
    </row>
    <row r="15" spans="1:8" x14ac:dyDescent="0.25">
      <c r="A15" t="s">
        <v>57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 + SUMIFS(Anguilla!$L:$L, Anguilla!$B:$B, $A15, Anguilla!$D:$D, "London") + SUMIFS(Tortola!$L:$L, Tortola!$B:$B, $A15, Tortola!$D:$D,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"Out Ports") + SUMIFS(Anguilla!$L:$L, Anguilla!$B:$B, $A15, Anguilla!$D:$D, "Out Ports") + SUMIFS(Tortola!$L:$L, Tortola!$B:$B, $A15, Tortola!$D:$D, "Out Ports")</f>
        <v>0</v>
      </c>
      <c r="D15">
        <f t="shared" si="0"/>
        <v>0</v>
      </c>
    </row>
    <row r="16" spans="1:8" x14ac:dyDescent="0.25">
      <c r="A16" t="s">
        <v>6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 + SUMIFS(Anguilla!$L:$L, Anguilla!$B:$B, $A16, Anguilla!$D:$D, "London") + SUMIFS(Tortola!$L:$L, Tortola!$B:$B, $A16, Tortola!$D:$D, "London")</f>
        <v>28274.59732142857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"Out Ports") + SUMIFS(Anguilla!$L:$L, Anguilla!$B:$B, $A16, Anguilla!$D:$D, "Out Ports") + SUMIFS(Tortola!$L:$L, Tortola!$B:$B, $A16, Tortola!$D:$D, "Out Ports")</f>
        <v>13599.302678571428</v>
      </c>
      <c r="D16">
        <f t="shared" si="0"/>
        <v>41873.899999999994</v>
      </c>
    </row>
    <row r="17" spans="1:4" x14ac:dyDescent="0.25">
      <c r="A17" t="s">
        <v>92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 + SUMIFS(Anguilla!$L:$L, Anguilla!$B:$B, $A17, Anguilla!$D:$D, "London") + SUMIFS(Tortola!$L:$L, Tortola!$B:$B, $A17, Tortola!$D:$D,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"Out Ports") + SUMIFS(Anguilla!$L:$L, Anguilla!$B:$B, $A17, Anguilla!$D:$D, "Out Ports") + SUMIFS(Tortola!$L:$L, Tortola!$B:$B, $A17, Tortola!$D:$D, "Out Ports")</f>
        <v>0</v>
      </c>
      <c r="D17">
        <f t="shared" si="0"/>
        <v>0</v>
      </c>
    </row>
    <row r="18" spans="1:4" x14ac:dyDescent="0.25">
      <c r="A18" t="s">
        <v>58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 + SUMIFS(Anguilla!$L:$L, Anguilla!$B:$B, $A18, Anguilla!$D:$D, "London") + SUMIFS(Tortola!$L:$L, Tortola!$B:$B, $A18, Tortola!$D:$D, "London")</f>
        <v>0.49866071428571429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"Out Ports") + SUMIFS(Anguilla!$L:$L, Anguilla!$B:$B, $A18, Anguilla!$D:$D, "Out Ports") + SUMIFS(Tortola!$L:$L, Tortola!$B:$B, $A18, Tortola!$D:$D, "Out Ports")</f>
        <v>0</v>
      </c>
      <c r="D18">
        <f t="shared" si="0"/>
        <v>0.49866071428571429</v>
      </c>
    </row>
    <row r="19" spans="1:4" x14ac:dyDescent="0.25">
      <c r="A19" t="s">
        <v>7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 + SUMIFS(Anguilla!$L:$L, Anguilla!$B:$B, $A19, Anguilla!$D:$D, "London") + SUMIFS(Tortola!$L:$L, Tortola!$B:$B, $A19, Tortola!$D:$D,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"Out Ports") + SUMIFS(Anguilla!$L:$L, Anguilla!$B:$B, $A19, Anguilla!$D:$D, "Out Ports") + SUMIFS(Tortola!$L:$L, Tortola!$B:$B, $A19, Tortola!$D:$D, "Out Ports")</f>
        <v>0</v>
      </c>
      <c r="D19">
        <f t="shared" si="0"/>
        <v>0</v>
      </c>
    </row>
    <row r="20" spans="1:4" x14ac:dyDescent="0.25">
      <c r="A20" t="s">
        <v>35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 + SUMIFS(Anguilla!$L:$L, Anguilla!$B:$B, $A20, Anguilla!$D:$D, "London") + SUMIFS(Tortola!$L:$L, Tortola!$B:$B, $A20, Tortola!$D:$D, "London")</f>
        <v>1.7857142857142856E-2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"Out Ports") + SUMIFS(Anguilla!$L:$L, Anguilla!$B:$B, $A20, Anguilla!$D:$D, "Out Ports") + SUMIFS(Tortola!$L:$L, Tortola!$B:$B, $A20, Tortola!$D:$D, "Out Ports")</f>
        <v>0</v>
      </c>
      <c r="D20">
        <f t="shared" si="0"/>
        <v>1.7857142857142856E-2</v>
      </c>
    </row>
    <row r="21" spans="1:4" x14ac:dyDescent="0.25">
      <c r="A21" t="s">
        <v>8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 + SUMIFS(Anguilla!$L:$L, Anguilla!$B:$B, $A21, Anguilla!$D:$D, "London") + SUMIFS(Tortola!$L:$L, Tortola!$B:$B, $A21, Tortola!$D:$D, "London")</f>
        <v>13.459375000000001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"Out Ports") + SUMIFS(Anguilla!$L:$L, Anguilla!$B:$B, $A21, Anguilla!$D:$D, "Out Ports") + SUMIFS(Tortola!$L:$L, Tortola!$B:$B, $A21, Tortola!$D:$D, "Out Ports")</f>
        <v>0.39687499999999998</v>
      </c>
      <c r="D21">
        <f t="shared" si="0"/>
        <v>13.856250000000001</v>
      </c>
    </row>
    <row r="22" spans="1:4" x14ac:dyDescent="0.25">
      <c r="A22" t="s">
        <v>38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 + SUMIFS(Anguilla!$L:$L, Anguilla!$B:$B, $A22, Anguilla!$D:$D, "London") + SUMIFS(Tortola!$L:$L, Tortola!$B:$B, $A22, Tortola!$D:$D,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"Out Ports") + SUMIFS(Anguilla!$L:$L, Anguilla!$B:$B, $A22, Anguilla!$D:$D, "Out Ports") + SUMIFS(Tortola!$L:$L, Tortola!$B:$B, $A22, Tortola!$D:$D, "Out Ports")</f>
        <v>0</v>
      </c>
      <c r="D22">
        <f t="shared" si="0"/>
        <v>0</v>
      </c>
    </row>
    <row r="23" spans="1:4" x14ac:dyDescent="0.25">
      <c r="A23" t="s">
        <v>75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 + SUMIFS(Anguilla!$L:$L, Anguilla!$B:$B, $A23, Anguilla!$D:$D, "London") + SUMIFS(Tortola!$L:$L, Tortola!$B:$B, $A23, Tortola!$D:$D, "London")</f>
        <v>35.10089285714286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"Out Ports") + SUMIFS(Anguilla!$L:$L, Anguilla!$B:$B, $A23, Anguilla!$D:$D, "Out Ports") + SUMIFS(Tortola!$L:$L, Tortola!$B:$B, $A23, Tortola!$D:$D, "Out Ports")</f>
        <v>1.5964285714285715</v>
      </c>
      <c r="D23">
        <f t="shared" si="0"/>
        <v>36.697321428571428</v>
      </c>
    </row>
    <row r="24" spans="1:4" x14ac:dyDescent="0.25">
      <c r="A24" t="s">
        <v>113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 + SUMIFS(Anguilla!$L:$L, Anguilla!$B:$B, $A24, Anguilla!$D:$D, "London") + SUMIFS(Tortola!$L:$L, Tortola!$B:$B, $A24, Tortola!$D:$D, "London")</f>
        <v>8.9285714285714281E-3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"Out Ports") + SUMIFS(Anguilla!$L:$L, Anguilla!$B:$B, $A24, Anguilla!$D:$D, "Out Ports") + SUMIFS(Tortola!$L:$L, Tortola!$B:$B, $A24, Tortola!$D:$D, "Out Ports")</f>
        <v>0</v>
      </c>
      <c r="D24">
        <f t="shared" si="0"/>
        <v>8.9285714285714281E-3</v>
      </c>
    </row>
    <row r="25" spans="1:4" x14ac:dyDescent="0.25">
      <c r="A25" t="s">
        <v>76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 + SUMIFS(Anguilla!$L:$L, Anguilla!$B:$B, $A25, Anguilla!$D:$D, "London") + SUMIFS(Tortola!$L:$L, Tortola!$B:$B, $A25, Tortola!$D:$D, "London")</f>
        <v>24.992410714285715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"Out Ports") + SUMIFS(Anguilla!$L:$L, Anguilla!$B:$B, $A25, Anguilla!$D:$D, "Out Ports") + SUMIFS(Tortola!$L:$L, Tortola!$B:$B, $A25, Tortola!$D:$D, "Out Ports")</f>
        <v>8.6160714285714285E-2</v>
      </c>
      <c r="D25">
        <f t="shared" si="0"/>
        <v>25.078571428571429</v>
      </c>
    </row>
    <row r="26" spans="1:4" x14ac:dyDescent="0.25">
      <c r="A26" t="s">
        <v>44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 + SUMIFS(Anguilla!$L:$L, Anguilla!$B:$B, $A26, Anguilla!$D:$D, "London") + SUMIFS(Tortola!$L:$L, Tortola!$B:$B, $A26, Tortola!$D:$D, "London")</f>
        <v>0.77142857142857135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"Out Ports") + SUMIFS(Anguilla!$L:$L, Anguilla!$B:$B, $A26, Anguilla!$D:$D, "Out Ports") + SUMIFS(Tortola!$L:$L, Tortola!$B:$B, $A26, Tortola!$D:$D, "Out Ports")</f>
        <v>0.12589285714285714</v>
      </c>
      <c r="D26">
        <f t="shared" si="0"/>
        <v>0.89732142857142849</v>
      </c>
    </row>
    <row r="27" spans="1:4" x14ac:dyDescent="0.25">
      <c r="A27" t="s">
        <v>9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 + SUMIFS(Anguilla!$L:$L, Anguilla!$B:$B, $A27, Anguilla!$D:$D, "London") + SUMIFS(Tortola!$L:$L, Tortola!$B:$B, $A27, Tortola!$D:$D, "London")</f>
        <v>254.26339285714283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"Out Ports") + SUMIFS(Anguilla!$L:$L, Anguilla!$B:$B, $A27, Anguilla!$D:$D, "Out Ports") + SUMIFS(Tortola!$L:$L, Tortola!$B:$B, $A27, Tortola!$D:$D, "Out Ports")</f>
        <v>363.92857142857144</v>
      </c>
      <c r="D27">
        <f t="shared" si="0"/>
        <v>618.19196428571422</v>
      </c>
    </row>
    <row r="28" spans="1:4" x14ac:dyDescent="0.25">
      <c r="A28" t="s">
        <v>10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 + SUMIFS(Anguilla!$L:$L, Anguilla!$B:$B, $A28, Anguilla!$D:$D, "London") + SUMIFS(Tortola!$L:$L, Tortola!$B:$B, $A28, Tortola!$D:$D, "London")</f>
        <v>454.63749999999999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"Out Ports") + SUMIFS(Anguilla!$L:$L, Anguilla!$B:$B, $A28, Anguilla!$D:$D, "Out Ports") + SUMIFS(Tortola!$L:$L, Tortola!$B:$B, $A28, Tortola!$D:$D, "Out Ports")</f>
        <v>391.88794642857141</v>
      </c>
      <c r="D28">
        <f t="shared" si="0"/>
        <v>846.5254464285714</v>
      </c>
    </row>
    <row r="29" spans="1:4" x14ac:dyDescent="0.25">
      <c r="A29" t="s">
        <v>11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 + SUMIFS(Anguilla!$L:$L, Anguilla!$B:$B, $A29, Anguilla!$D:$D, "London") + SUMIFS(Tortola!$L:$L, Tortola!$B:$B, $A29, Tortola!$D:$D, "London")</f>
        <v>11.860714285714286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"Out Ports") + SUMIFS(Anguilla!$L:$L, Anguilla!$B:$B, $A29, Anguilla!$D:$D, "Out Ports") + SUMIFS(Tortola!$L:$L, Tortola!$B:$B, $A29, Tortola!$D:$D, "Out Ports")</f>
        <v>23.985267857142858</v>
      </c>
      <c r="D29">
        <f t="shared" si="0"/>
        <v>35.845982142857146</v>
      </c>
    </row>
    <row r="30" spans="1:4" x14ac:dyDescent="0.25">
      <c r="A30" t="s">
        <v>37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 + SUMIFS(Anguilla!$L:$L, Anguilla!$B:$B, $A30, Anguilla!$D:$D, "London") + SUMIFS(Tortola!$L:$L, Tortola!$B:$B, $A30, Tortola!$D:$D, "London")</f>
        <v>0.55312500000000009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"Out Ports") + SUMIFS(Anguilla!$L:$L, Anguilla!$B:$B, $A30, Anguilla!$D:$D, "Out Ports") + SUMIFS(Tortola!$L:$L, Tortola!$B:$B, $A30, Tortola!$D:$D, "Out Ports")</f>
        <v>2.3214285714285712E-2</v>
      </c>
      <c r="D30">
        <f t="shared" si="0"/>
        <v>0.57633928571428583</v>
      </c>
    </row>
    <row r="31" spans="1:4" x14ac:dyDescent="0.25">
      <c r="A31" t="s">
        <v>77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 + SUMIFS(Anguilla!$L:$L, Anguilla!$B:$B, $A31, Anguilla!$D:$D, "London") + SUMIFS(Tortola!$L:$L, Tortola!$B:$B, $A31, Tortola!$D:$D, "London")</f>
        <v>1.1000000000000001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"Out Ports") + SUMIFS(Anguilla!$L:$L, Anguilla!$B:$B, $A31, Anguilla!$D:$D, "Out Ports") + SUMIFS(Tortola!$L:$L, Tortola!$B:$B, $A31, Tortola!$D:$D, "Out Ports")</f>
        <v>3.8803571428571431</v>
      </c>
      <c r="D31">
        <f t="shared" si="0"/>
        <v>4.9803571428571427</v>
      </c>
    </row>
    <row r="32" spans="1:4" x14ac:dyDescent="0.25">
      <c r="A32" t="s">
        <v>99</v>
      </c>
      <c r="B32">
        <f>SUMIFS(Antigua!$L:$L, Antigua!$B:$B, $A32, Antigua!$D:$D, "London") + SUMIFS(Barbados!$L:$L, Barbados!$B:$B, $A32, Barbados!$D:$D, "London") + SUMIFS(Bermuda!$L:$L, Bermuda!$B:$B, $A32, Bermuda!$D:$D, "London") + SUMIFS(Jamaica!$L:$L, Jamaica!$B:$B, $A32, Jamaica!$D:$D, "London") + SUMIFS(Mountserat!$L:$L, Mountserat!$B:$B, $A32, Mountserat!$D:$D, "London") + SUMIFS(Nevis!$L:$L, Nevis!$B:$B, $A32, Nevis!$D:$D, "London") + SUMIFS('St Kitts'!$L:$L, 'St Kitts'!$B:$B, $A32, 'St Kitts'!$D:$D, "London") + SUMIFS(WestIndiesGeneral!$L:$L, WestIndiesGeneral!$B:$B, $A32, WestIndiesGeneral!$D:$D, "London") + SUMIFS(Anguilla!$L:$L, Anguilla!$B:$B, $A32, Anguilla!$D:$D, "London") + SUMIFS(Tortola!$L:$L, Tortola!$B:$B, $A32, Tortola!$D:$D, "London")</f>
        <v>2.8125</v>
      </c>
      <c r="C32">
        <f>SUMIFS(Antigua!$L:$L, Antigua!$B:$B, $A32, Antigua!$D:$D, "Out Ports") + SUMIFS(Barbados!$L:$L, Barbados!$B:$B, $A32, Barbados!$D:$D, "Out Ports") + SUMIFS(Bermuda!$L:$L, Bermuda!$B:$B, $A32, Bermuda!$D:$D, "Out Ports") + SUMIFS(Jamaica!$L:$L, Jamaica!$B:$B, $A32, Jamaica!$D:$D, "Out Ports") + SUMIFS(Mountserat!$L:$L, Mountserat!$B:$B, $A32, Mountserat!$D:$D, "Out Ports") + SUMIFS(Nevis!$L:$L, Nevis!$B:$B, $A32, Nevis!$D:$D, "Out Ports") + SUMIFS('St Kitts'!$L:$L, 'St Kitts'!$B:$B, $A32, 'St Kitts'!$D:$D, "Out Ports") + SUMIFS(WestIndiesGeneral!$L:$L, WestIndiesGeneral!$B:$B, $A32, WestIndiesGeneral!$D:$D, "Out Ports") + SUMIFS(Anguilla!$L:$L, Anguilla!$B:$B, $A32, Anguilla!$D:$D, "Out Ports") + SUMIFS(Tortola!$L:$L, Tortola!$B:$B, $A32, Tortola!$D:$D, "Out Ports")</f>
        <v>0.56428571428571428</v>
      </c>
      <c r="D32">
        <f t="shared" si="0"/>
        <v>3.3767857142857141</v>
      </c>
    </row>
    <row r="33" spans="1:4" x14ac:dyDescent="0.25">
      <c r="A33" t="s">
        <v>98</v>
      </c>
      <c r="B33">
        <f>SUMIFS(Antigua!$L:$L, Antigua!$B:$B, $A33, Antigua!$D:$D, "London") + SUMIFS(Barbados!$L:$L, Barbados!$B:$B, $A33, Barbados!$D:$D, "London") + SUMIFS(Bermuda!$L:$L, Bermuda!$B:$B, $A33, Bermuda!$D:$D, "London") + SUMIFS(Jamaica!$L:$L, Jamaica!$B:$B, $A33, Jamaica!$D:$D, "London") + SUMIFS(Mountserat!$L:$L, Mountserat!$B:$B, $A33, Mountserat!$D:$D, "London") + SUMIFS(Nevis!$L:$L, Nevis!$B:$B, $A33, Nevis!$D:$D, "London") + SUMIFS('St Kitts'!$L:$L, 'St Kitts'!$B:$B, $A33, 'St Kitts'!$D:$D, "London") + SUMIFS(WestIndiesGeneral!$L:$L, WestIndiesGeneral!$B:$B, $A33, WestIndiesGeneral!$D:$D, "London") + SUMIFS(Anguilla!$L:$L, Anguilla!$B:$B, $A33, Anguilla!$D:$D, "London") + SUMIFS(Tortola!$L:$L, Tortola!$B:$B, $A33, Tortola!$D:$D, "London")</f>
        <v>0</v>
      </c>
      <c r="C33">
        <f>SUMIFS(Antigua!$L:$L, Antigua!$B:$B, $A33, Antigua!$D:$D, "Out Ports") + SUMIFS(Barbados!$L:$L, Barbados!$B:$B, $A33, Barbados!$D:$D, "Out Ports") + SUMIFS(Bermuda!$L:$L, Bermuda!$B:$B, $A33, Bermuda!$D:$D, "Out Ports") + SUMIFS(Jamaica!$L:$L, Jamaica!$B:$B, $A33, Jamaica!$D:$D, "Out Ports") + SUMIFS(Mountserat!$L:$L, Mountserat!$B:$B, $A33, Mountserat!$D:$D, "Out Ports") + SUMIFS(Nevis!$L:$L, Nevis!$B:$B, $A33, Nevis!$D:$D, "Out Ports") + SUMIFS('St Kitts'!$L:$L, 'St Kitts'!$B:$B, $A33, 'St Kitts'!$D:$D, "Out Ports") + SUMIFS(WestIndiesGeneral!$L:$L, WestIndiesGeneral!$B:$B, $A33, WestIndiesGeneral!$D:$D, "Out Ports") + SUMIFS(Anguilla!$L:$L, Anguilla!$B:$B, $A33, Anguilla!$D:$D, "Out Ports") + SUMIFS(Tortola!$L:$L, Tortola!$B:$B, $A33, Tortola!$D:$D, "Out Ports")</f>
        <v>0</v>
      </c>
      <c r="D33">
        <f t="shared" si="0"/>
        <v>0</v>
      </c>
    </row>
    <row r="34" spans="1:4" x14ac:dyDescent="0.25">
      <c r="A34" t="s">
        <v>42</v>
      </c>
      <c r="B34">
        <f>SUMIFS(Antigua!$L:$L, Antigua!$B:$B, $A34, Antigua!$D:$D, "London") + SUMIFS(Barbados!$L:$L, Barbados!$B:$B, $A34, Barbados!$D:$D, "London") + SUMIFS(Bermuda!$L:$L, Bermuda!$B:$B, $A34, Bermuda!$D:$D, "London") + SUMIFS(Jamaica!$L:$L, Jamaica!$B:$B, $A34, Jamaica!$D:$D, "London") + SUMIFS(Mountserat!$L:$L, Mountserat!$B:$B, $A34, Mountserat!$D:$D, "London") + SUMIFS(Nevis!$L:$L, Nevis!$B:$B, $A34, Nevis!$D:$D, "London") + SUMIFS('St Kitts'!$L:$L, 'St Kitts'!$B:$B, $A34, 'St Kitts'!$D:$D, "London") + SUMIFS(WestIndiesGeneral!$L:$L, WestIndiesGeneral!$B:$B, $A34, WestIndiesGeneral!$D:$D, "London") + SUMIFS(Anguilla!$L:$L, Anguilla!$B:$B, $A34, Anguilla!$D:$D, "London") + SUMIFS(Tortola!$L:$L, Tortola!$B:$B, $A34, Tortola!$D:$D, "London")</f>
        <v>0</v>
      </c>
      <c r="C34">
        <f>SUMIFS(Antigua!$L:$L, Antigua!$B:$B, $A34, Antigua!$D:$D, "Out Ports") + SUMIFS(Barbados!$L:$L, Barbados!$B:$B, $A34, Barbados!$D:$D, "Out Ports") + SUMIFS(Bermuda!$L:$L, Bermuda!$B:$B, $A34, Bermuda!$D:$D, "Out Ports") + SUMIFS(Jamaica!$L:$L, Jamaica!$B:$B, $A34, Jamaica!$D:$D, "Out Ports") + SUMIFS(Mountserat!$L:$L, Mountserat!$B:$B, $A34, Mountserat!$D:$D, "Out Ports") + SUMIFS(Nevis!$L:$L, Nevis!$B:$B, $A34, Nevis!$D:$D, "Out Ports") + SUMIFS('St Kitts'!$L:$L, 'St Kitts'!$B:$B, $A34, 'St Kitts'!$D:$D, "Out Ports") + SUMIFS(WestIndiesGeneral!$L:$L, WestIndiesGeneral!$B:$B, $A34, WestIndiesGeneral!$D:$D, "Out Ports") + SUMIFS(Anguilla!$L:$L, Anguilla!$B:$B, $A34, Anguilla!$D:$D, "Out Ports") + SUMIFS(Tortola!$L:$L, Tortola!$B:$B, $A34, Tortola!$D:$D, "Out Ports")</f>
        <v>0</v>
      </c>
      <c r="D34">
        <f t="shared" si="0"/>
        <v>0</v>
      </c>
    </row>
    <row r="35" spans="1:4" x14ac:dyDescent="0.25">
      <c r="A35" t="s">
        <v>93</v>
      </c>
      <c r="B35">
        <f>SUMIFS(Antigua!$L:$L, Antigua!$B:$B, $A35, Antigua!$D:$D, "London") + SUMIFS(Barbados!$L:$L, Barbados!$B:$B, $A35, Barbados!$D:$D, "London") + SUMIFS(Bermuda!$L:$L, Bermuda!$B:$B, $A35, Bermuda!$D:$D, "London") + SUMIFS(Jamaica!$L:$L, Jamaica!$B:$B, $A35, Jamaica!$D:$D, "London") + SUMIFS(Mountserat!$L:$L, Mountserat!$B:$B, $A35, Mountserat!$D:$D, "London") + SUMIFS(Nevis!$L:$L, Nevis!$B:$B, $A35, Nevis!$D:$D, "London") + SUMIFS('St Kitts'!$L:$L, 'St Kitts'!$B:$B, $A35, 'St Kitts'!$D:$D, "London") + SUMIFS(WestIndiesGeneral!$L:$L, WestIndiesGeneral!$B:$B, $A35, WestIndiesGeneral!$D:$D, "London") + SUMIFS(Anguilla!$L:$L, Anguilla!$B:$B, $A35, Anguilla!$D:$D, "London") + SUMIFS(Tortola!$L:$L, Tortola!$B:$B, $A35, Tortola!$D:$D, "London")</f>
        <v>1.3392857142857143E-3</v>
      </c>
      <c r="C35">
        <f>SUMIFS(Antigua!$L:$L, Antigua!$B:$B, $A35, Antigua!$D:$D, "Out Ports") + SUMIFS(Barbados!$L:$L, Barbados!$B:$B, $A35, Barbados!$D:$D, "Out Ports") + SUMIFS(Bermuda!$L:$L, Bermuda!$B:$B, $A35, Bermuda!$D:$D, "Out Ports") + SUMIFS(Jamaica!$L:$L, Jamaica!$B:$B, $A35, Jamaica!$D:$D, "Out Ports") + SUMIFS(Mountserat!$L:$L, Mountserat!$B:$B, $A35, Mountserat!$D:$D, "Out Ports") + SUMIFS(Nevis!$L:$L, Nevis!$B:$B, $A35, Nevis!$D:$D, "Out Ports") + SUMIFS('St Kitts'!$L:$L, 'St Kitts'!$B:$B, $A35, 'St Kitts'!$D:$D, "Out Ports") + SUMIFS(WestIndiesGeneral!$L:$L, WestIndiesGeneral!$B:$B, $A35, WestIndiesGeneral!$D:$D, "Out Ports") + SUMIFS(Anguilla!$L:$L, Anguilla!$B:$B, $A35, Anguilla!$D:$D, "Out Ports") + SUMIFS(Tortola!$L:$L, Tortola!$B:$B, $A35, Tortola!$D:$D, "Out Ports")</f>
        <v>0</v>
      </c>
      <c r="D35">
        <f t="shared" si="0"/>
        <v>1.3392857142857143E-3</v>
      </c>
    </row>
    <row r="36" spans="1:4" x14ac:dyDescent="0.25">
      <c r="A36" t="s">
        <v>12</v>
      </c>
      <c r="B36">
        <f>SUMIFS(Antigua!$L:$L, Antigua!$B:$B, $A36, Antigua!$D:$D, "London") + SUMIFS(Barbados!$L:$L, Barbados!$B:$B, $A36, Barbados!$D:$D, "London") + SUMIFS(Bermuda!$L:$L, Bermuda!$B:$B, $A36, Bermuda!$D:$D, "London") + SUMIFS(Jamaica!$L:$L, Jamaica!$B:$B, $A36, Jamaica!$D:$D, "London") + SUMIFS(Mountserat!$L:$L, Mountserat!$B:$B, $A36, Mountserat!$D:$D, "London") + SUMIFS(Nevis!$L:$L, Nevis!$B:$B, $A36, Nevis!$D:$D, "London") + SUMIFS('St Kitts'!$L:$L, 'St Kitts'!$B:$B, $A36, 'St Kitts'!$D:$D, "London") + SUMIFS(WestIndiesGeneral!$L:$L, WestIndiesGeneral!$B:$B, $A36, WestIndiesGeneral!$D:$D, "London") + SUMIFS(Anguilla!$L:$L, Anguilla!$B:$B, $A36, Anguilla!$D:$D, "London") + SUMIFS(Tortola!$L:$L, Tortola!$B:$B, $A36, Tortola!$D:$D, "London")</f>
        <v>4.3433035714285717</v>
      </c>
      <c r="C36">
        <f>SUMIFS(Antigua!$L:$L, Antigua!$B:$B, $A36, Antigua!$D:$D, "Out Ports") + SUMIFS(Barbados!$L:$L, Barbados!$B:$B, $A36, Barbados!$D:$D, "Out Ports") + SUMIFS(Bermuda!$L:$L, Bermuda!$B:$B, $A36, Bermuda!$D:$D, "Out Ports") + SUMIFS(Jamaica!$L:$L, Jamaica!$B:$B, $A36, Jamaica!$D:$D, "Out Ports") + SUMIFS(Mountserat!$L:$L, Mountserat!$B:$B, $A36, Mountserat!$D:$D, "Out Ports") + SUMIFS(Nevis!$L:$L, Nevis!$B:$B, $A36, Nevis!$D:$D, "Out Ports") + SUMIFS('St Kitts'!$L:$L, 'St Kitts'!$B:$B, $A36, 'St Kitts'!$D:$D, "Out Ports") + SUMIFS(WestIndiesGeneral!$L:$L, WestIndiesGeneral!$B:$B, $A36, WestIndiesGeneral!$D:$D, "Out Ports") + SUMIFS(Anguilla!$L:$L, Anguilla!$B:$B, $A36, Anguilla!$D:$D, "Out Ports") + SUMIFS(Tortola!$L:$L, Tortola!$B:$B, $A36, Tortola!$D:$D, "Out Ports")</f>
        <v>2.6218750000000002</v>
      </c>
      <c r="D36">
        <f t="shared" si="0"/>
        <v>6.9651785714285719</v>
      </c>
    </row>
    <row r="37" spans="1:4" x14ac:dyDescent="0.25">
      <c r="A37" t="s">
        <v>103</v>
      </c>
      <c r="B37">
        <f>SUMIFS(Antigua!$L:$L, Antigua!$B:$B, $A37, Antigua!$D:$D, "London") + SUMIFS(Barbados!$L:$L, Barbados!$B:$B, $A37, Barbados!$D:$D, "London") + SUMIFS(Bermuda!$L:$L, Bermuda!$B:$B, $A37, Bermuda!$D:$D, "London") + SUMIFS(Jamaica!$L:$L, Jamaica!$B:$B, $A37, Jamaica!$D:$D, "London") + SUMIFS(Mountserat!$L:$L, Mountserat!$B:$B, $A37, Mountserat!$D:$D, "London") + SUMIFS(Nevis!$L:$L, Nevis!$B:$B, $A37, Nevis!$D:$D, "London") + SUMIFS('St Kitts'!$L:$L, 'St Kitts'!$B:$B, $A37, 'St Kitts'!$D:$D, "London") + SUMIFS(WestIndiesGeneral!$L:$L, WestIndiesGeneral!$B:$B, $A37, WestIndiesGeneral!$D:$D, "London") + SUMIFS(Anguilla!$L:$L, Anguilla!$B:$B, $A37, Anguilla!$D:$D, "London") + SUMIFS(Tortola!$L:$L, Tortola!$B:$B, $A37, Tortola!$D:$D, "London")</f>
        <v>0</v>
      </c>
      <c r="C37">
        <f>SUMIFS(Antigua!$L:$L, Antigua!$B:$B, $A37, Antigua!$D:$D, "Out Ports") + SUMIFS(Barbados!$L:$L, Barbados!$B:$B, $A37, Barbados!$D:$D, "Out Ports") + SUMIFS(Bermuda!$L:$L, Bermuda!$B:$B, $A37, Bermuda!$D:$D, "Out Ports") + SUMIFS(Jamaica!$L:$L, Jamaica!$B:$B, $A37, Jamaica!$D:$D, "Out Ports") + SUMIFS(Mountserat!$L:$L, Mountserat!$B:$B, $A37, Mountserat!$D:$D, "Out Ports") + SUMIFS(Nevis!$L:$L, Nevis!$B:$B, $A37, Nevis!$D:$D, "Out Ports") + SUMIFS('St Kitts'!$L:$L, 'St Kitts'!$B:$B, $A37, 'St Kitts'!$D:$D, "Out Ports") + SUMIFS(WestIndiesGeneral!$L:$L, WestIndiesGeneral!$B:$B, $A37, WestIndiesGeneral!$D:$D, "Out Ports") + SUMIFS(Anguilla!$L:$L, Anguilla!$B:$B, $A37, Anguilla!$D:$D, "Out Ports") + SUMIFS(Tortola!$L:$L, Tortola!$B:$B, $A37, Tortola!$D:$D, "Out Ports")</f>
        <v>0.22500000000000001</v>
      </c>
      <c r="D37">
        <f t="shared" si="0"/>
        <v>0.22500000000000001</v>
      </c>
    </row>
    <row r="38" spans="1:4" x14ac:dyDescent="0.25">
      <c r="A38" t="s">
        <v>167</v>
      </c>
      <c r="B38">
        <f>SUMIFS(Antigua!$L:$L, Antigua!$B:$B, $A38, Antigua!$D:$D, "London") + SUMIFS(Barbados!$L:$L, Barbados!$B:$B, $A38, Barbados!$D:$D, "London") + SUMIFS(Bermuda!$L:$L, Bermuda!$B:$B, $A38, Bermuda!$D:$D, "London") + SUMIFS(Jamaica!$L:$L, Jamaica!$B:$B, $A38, Jamaica!$D:$D, "London") + SUMIFS(Mountserat!$L:$L, Mountserat!$B:$B, $A38, Mountserat!$D:$D, "London") + SUMIFS(Nevis!$L:$L, Nevis!$B:$B, $A38, Nevis!$D:$D, "London") + SUMIFS('St Kitts'!$L:$L, 'St Kitts'!$B:$B, $A38, 'St Kitts'!$D:$D, "London") + SUMIFS(WestIndiesGeneral!$L:$L, WestIndiesGeneral!$B:$B, $A38, WestIndiesGeneral!$D:$D, "London") + SUMIFS(Anguilla!$L:$L, Anguilla!$B:$B, $A38, Anguilla!$D:$D, "London") + SUMIFS(Tortola!$L:$L, Tortola!$B:$B, $A38, Tortola!$D:$D, "London")</f>
        <v>0</v>
      </c>
      <c r="C38">
        <f>SUMIFS(Antigua!$L:$L, Antigua!$B:$B, $A38, Antigua!$D:$D, "Out Ports") + SUMIFS(Barbados!$L:$L, Barbados!$B:$B, $A38, Barbados!$D:$D, "Out Ports") + SUMIFS(Bermuda!$L:$L, Bermuda!$B:$B, $A38, Bermuda!$D:$D, "Out Ports") + SUMIFS(Jamaica!$L:$L, Jamaica!$B:$B, $A38, Jamaica!$D:$D, "Out Ports") + SUMIFS(Mountserat!$L:$L, Mountserat!$B:$B, $A38, Mountserat!$D:$D, "Out Ports") + SUMIFS(Nevis!$L:$L, Nevis!$B:$B, $A38, Nevis!$D:$D, "Out Ports") + SUMIFS('St Kitts'!$L:$L, 'St Kitts'!$B:$B, $A38, 'St Kitts'!$D:$D, "Out Ports") + SUMIFS(WestIndiesGeneral!$L:$L, WestIndiesGeneral!$B:$B, $A38, WestIndiesGeneral!$D:$D, "Out Ports") + SUMIFS(Anguilla!$L:$L, Anguilla!$B:$B, $A38, Anguilla!$D:$D, "Out Ports") + SUMIFS(Tortola!$L:$L, Tortola!$B:$B, $A38, Tortola!$D:$D, "Out Ports")</f>
        <v>0</v>
      </c>
      <c r="D38">
        <f t="shared" si="0"/>
        <v>0</v>
      </c>
    </row>
    <row r="39" spans="1:4" x14ac:dyDescent="0.25">
      <c r="A39" t="s">
        <v>13</v>
      </c>
      <c r="B39">
        <f>SUMIFS(Antigua!$L:$L, Antigua!$B:$B, $A39, Antigua!$D:$D, "London") + SUMIFS(Barbados!$L:$L, Barbados!$B:$B, $A39, Barbados!$D:$D, "London") + SUMIFS(Bermuda!$L:$L, Bermuda!$B:$B, $A39, Bermuda!$D:$D, "London") + SUMIFS(Jamaica!$L:$L, Jamaica!$B:$B, $A39, Jamaica!$D:$D, "London") + SUMIFS(Mountserat!$L:$L, Mountserat!$B:$B, $A39, Mountserat!$D:$D, "London") + SUMIFS(Nevis!$L:$L, Nevis!$B:$B, $A39, Nevis!$D:$D, "London") + SUMIFS('St Kitts'!$L:$L, 'St Kitts'!$B:$B, $A39, 'St Kitts'!$D:$D, "London") + SUMIFS(WestIndiesGeneral!$L:$L, WestIndiesGeneral!$B:$B, $A39, WestIndiesGeneral!$D:$D, "London") + SUMIFS(Anguilla!$L:$L, Anguilla!$B:$B, $A39, Anguilla!$D:$D, "London") + SUMIFS(Tortola!$L:$L, Tortola!$B:$B, $A39, Tortola!$D:$D, "London")</f>
        <v>191.47499999999999</v>
      </c>
      <c r="C39">
        <f>SUMIFS(Antigua!$L:$L, Antigua!$B:$B, $A39, Antigua!$D:$D, "Out Ports") + SUMIFS(Barbados!$L:$L, Barbados!$B:$B, $A39, Barbados!$D:$D, "Out Ports") + SUMIFS(Bermuda!$L:$L, Bermuda!$B:$B, $A39, Bermuda!$D:$D, "Out Ports") + SUMIFS(Jamaica!$L:$L, Jamaica!$B:$B, $A39, Jamaica!$D:$D, "Out Ports") + SUMIFS(Mountserat!$L:$L, Mountserat!$B:$B, $A39, Mountserat!$D:$D, "Out Ports") + SUMIFS(Nevis!$L:$L, Nevis!$B:$B, $A39, Nevis!$D:$D, "Out Ports") + SUMIFS('St Kitts'!$L:$L, 'St Kitts'!$B:$B, $A39, 'St Kitts'!$D:$D, "Out Ports") + SUMIFS(WestIndiesGeneral!$L:$L, WestIndiesGeneral!$B:$B, $A39, WestIndiesGeneral!$D:$D, "Out Ports") + SUMIFS(Anguilla!$L:$L, Anguilla!$B:$B, $A39, Anguilla!$D:$D, "Out Ports") + SUMIFS(Tortola!$L:$L, Tortola!$B:$B, $A39, Tortola!$D:$D, "Out Ports")</f>
        <v>174.16785714285714</v>
      </c>
      <c r="D39">
        <f t="shared" si="0"/>
        <v>365.64285714285711</v>
      </c>
    </row>
    <row r="40" spans="1:4" x14ac:dyDescent="0.25">
      <c r="A40" t="s">
        <v>14</v>
      </c>
      <c r="B40">
        <f>SUMIFS(Antigua!$L:$L, Antigua!$B:$B, $A40, Antigua!$D:$D, "London") + SUMIFS(Barbados!$L:$L, Barbados!$B:$B, $A40, Barbados!$D:$D, "London") + SUMIFS(Bermuda!$L:$L, Bermuda!$B:$B, $A40, Bermuda!$D:$D, "London") + SUMIFS(Jamaica!$L:$L, Jamaica!$B:$B, $A40, Jamaica!$D:$D, "London") + SUMIFS(Mountserat!$L:$L, Mountserat!$B:$B, $A40, Mountserat!$D:$D, "London") + SUMIFS(Nevis!$L:$L, Nevis!$B:$B, $A40, Nevis!$D:$D, "London") + SUMIFS('St Kitts'!$L:$L, 'St Kitts'!$B:$B, $A40, 'St Kitts'!$D:$D, "London") + SUMIFS(WestIndiesGeneral!$L:$L, WestIndiesGeneral!$B:$B, $A40, WestIndiesGeneral!$D:$D, "London") + SUMIFS(Anguilla!$L:$L, Anguilla!$B:$B, $A40, Anguilla!$D:$D, "London") + SUMIFS(Tortola!$L:$L, Tortola!$B:$B, $A40, Tortola!$D:$D, "London")</f>
        <v>1.7861607142857143</v>
      </c>
      <c r="C40">
        <f>SUMIFS(Antigua!$L:$L, Antigua!$B:$B, $A40, Antigua!$D:$D, "Out Ports") + SUMIFS(Barbados!$L:$L, Barbados!$B:$B, $A40, Barbados!$D:$D, "Out Ports") + SUMIFS(Bermuda!$L:$L, Bermuda!$B:$B, $A40, Bermuda!$D:$D, "Out Ports") + SUMIFS(Jamaica!$L:$L, Jamaica!$B:$B, $A40, Jamaica!$D:$D, "Out Ports") + SUMIFS(Mountserat!$L:$L, Mountserat!$B:$B, $A40, Mountserat!$D:$D, "Out Ports") + SUMIFS(Nevis!$L:$L, Nevis!$B:$B, $A40, Nevis!$D:$D, "Out Ports") + SUMIFS('St Kitts'!$L:$L, 'St Kitts'!$B:$B, $A40, 'St Kitts'!$D:$D, "Out Ports") + SUMIFS(WestIndiesGeneral!$L:$L, WestIndiesGeneral!$B:$B, $A40, WestIndiesGeneral!$D:$D, "Out Ports") + SUMIFS(Anguilla!$L:$L, Anguilla!$B:$B, $A40, Anguilla!$D:$D, "Out Ports") + SUMIFS(Tortola!$L:$L, Tortola!$B:$B, $A40, Tortola!$D:$D, "Out Ports")</f>
        <v>0</v>
      </c>
      <c r="D40">
        <f t="shared" si="0"/>
        <v>1.7861607142857143</v>
      </c>
    </row>
    <row r="41" spans="1:4" x14ac:dyDescent="0.25">
      <c r="A41" t="s">
        <v>23</v>
      </c>
      <c r="B41">
        <f>SUMIFS(Antigua!$L:$L, Antigua!$B:$B, $A41, Antigua!$D:$D, "London") + SUMIFS(Barbados!$L:$L, Barbados!$B:$B, $A41, Barbados!$D:$D, "London") + SUMIFS(Bermuda!$L:$L, Bermuda!$B:$B, $A41, Bermuda!$D:$D, "London") + SUMIFS(Jamaica!$L:$L, Jamaica!$B:$B, $A41, Jamaica!$D:$D, "London") + SUMIFS(Mountserat!$L:$L, Mountserat!$B:$B, $A41, Mountserat!$D:$D, "London") + SUMIFS(Nevis!$L:$L, Nevis!$B:$B, $A41, Nevis!$D:$D, "London") + SUMIFS('St Kitts'!$L:$L, 'St Kitts'!$B:$B, $A41, 'St Kitts'!$D:$D, "London") + SUMIFS(WestIndiesGeneral!$L:$L, WestIndiesGeneral!$B:$B, $A41, WestIndiesGeneral!$D:$D, "London") + SUMIFS(Anguilla!$L:$L, Anguilla!$B:$B, $A41, Anguilla!$D:$D, "London") + SUMIFS(Tortola!$L:$L, Tortola!$B:$B, $A41, Tortola!$D:$D, "London")</f>
        <v>0</v>
      </c>
      <c r="C41">
        <f>SUMIFS(Antigua!$L:$L, Antigua!$B:$B, $A41, Antigua!$D:$D, "Out Ports") + SUMIFS(Barbados!$L:$L, Barbados!$B:$B, $A41, Barbados!$D:$D, "Out Ports") + SUMIFS(Bermuda!$L:$L, Bermuda!$B:$B, $A41, Bermuda!$D:$D, "Out Ports") + SUMIFS(Jamaica!$L:$L, Jamaica!$B:$B, $A41, Jamaica!$D:$D, "Out Ports") + SUMIFS(Mountserat!$L:$L, Mountserat!$B:$B, $A41, Mountserat!$D:$D, "Out Ports") + SUMIFS(Nevis!$L:$L, Nevis!$B:$B, $A41, Nevis!$D:$D, "Out Ports") + SUMIFS('St Kitts'!$L:$L, 'St Kitts'!$B:$B, $A41, 'St Kitts'!$D:$D, "Out Ports") + SUMIFS(WestIndiesGeneral!$L:$L, WestIndiesGeneral!$B:$B, $A41, WestIndiesGeneral!$D:$D, "Out Ports") + SUMIFS(Anguilla!$L:$L, Anguilla!$B:$B, $A41, Anguilla!$D:$D, "Out Ports") + SUMIFS(Tortola!$L:$L, Tortola!$B:$B, $A41, Tortola!$D:$D, "Out Ports")</f>
        <v>0</v>
      </c>
      <c r="D41">
        <f t="shared" si="0"/>
        <v>0</v>
      </c>
    </row>
    <row r="42" spans="1:4" x14ac:dyDescent="0.25">
      <c r="A42" t="s">
        <v>25</v>
      </c>
      <c r="B42">
        <f>SUMIFS(Antigua!$L:$L, Antigua!$B:$B, $A42, Antigua!$D:$D, "London") + SUMIFS(Barbados!$L:$L, Barbados!$B:$B, $A42, Barbados!$D:$D, "London") + SUMIFS(Bermuda!$L:$L, Bermuda!$B:$B, $A42, Bermuda!$D:$D, "London") + SUMIFS(Jamaica!$L:$L, Jamaica!$B:$B, $A42, Jamaica!$D:$D, "London") + SUMIFS(Mountserat!$L:$L, Mountserat!$B:$B, $A42, Mountserat!$D:$D, "London") + SUMIFS(Nevis!$L:$L, Nevis!$B:$B, $A42, Nevis!$D:$D, "London") + SUMIFS('St Kitts'!$L:$L, 'St Kitts'!$B:$B, $A42, 'St Kitts'!$D:$D, "London") + SUMIFS(WestIndiesGeneral!$L:$L, WestIndiesGeneral!$B:$B, $A42, WestIndiesGeneral!$D:$D, "London") + SUMIFS(Anguilla!$L:$L, Anguilla!$B:$B, $A42, Anguilla!$D:$D, "London") + SUMIFS(Tortola!$L:$L, Tortola!$B:$B, $A42, Tortola!$D:$D, "London")</f>
        <v>452.94241071428576</v>
      </c>
      <c r="C42">
        <f>SUMIFS(Antigua!$L:$L, Antigua!$B:$B, $A42, Antigua!$D:$D, "Out Ports") + SUMIFS(Barbados!$L:$L, Barbados!$B:$B, $A42, Barbados!$D:$D, "Out Ports") + SUMIFS(Bermuda!$L:$L, Bermuda!$B:$B, $A42, Bermuda!$D:$D, "Out Ports") + SUMIFS(Jamaica!$L:$L, Jamaica!$B:$B, $A42, Jamaica!$D:$D, "Out Ports") + SUMIFS(Mountserat!$L:$L, Mountserat!$B:$B, $A42, Mountserat!$D:$D, "Out Ports") + SUMIFS(Nevis!$L:$L, Nevis!$B:$B, $A42, Nevis!$D:$D, "Out Ports") + SUMIFS('St Kitts'!$L:$L, 'St Kitts'!$B:$B, $A42, 'St Kitts'!$D:$D, "Out Ports") + SUMIFS(WestIndiesGeneral!$L:$L, WestIndiesGeneral!$B:$B, $A42, WestIndiesGeneral!$D:$D, "Out Ports") + SUMIFS(Anguilla!$L:$L, Anguilla!$B:$B, $A42, Anguilla!$D:$D, "Out Ports") + SUMIFS(Tortola!$L:$L, Tortola!$B:$B, $A42, Tortola!$D:$D, "Out Ports")</f>
        <v>82.749107142857142</v>
      </c>
      <c r="D42">
        <f t="shared" si="0"/>
        <v>535.69151785714291</v>
      </c>
    </row>
    <row r="43" spans="1:4" x14ac:dyDescent="0.25">
      <c r="A43" t="s">
        <v>15</v>
      </c>
      <c r="B43">
        <f>SUMIFS(Antigua!$L:$L, Antigua!$B:$B, $A43, Antigua!$D:$D, "London") + SUMIFS(Barbados!$L:$L, Barbados!$B:$B, $A43, Barbados!$D:$D, "London") + SUMIFS(Bermuda!$L:$L, Bermuda!$B:$B, $A43, Bermuda!$D:$D, "London") + SUMIFS(Jamaica!$L:$L, Jamaica!$B:$B, $A43, Jamaica!$D:$D, "London") + SUMIFS(Mountserat!$L:$L, Mountserat!$B:$B, $A43, Mountserat!$D:$D, "London") + SUMIFS(Nevis!$L:$L, Nevis!$B:$B, $A43, Nevis!$D:$D, "London") + SUMIFS('St Kitts'!$L:$L, 'St Kitts'!$B:$B, $A43, 'St Kitts'!$D:$D, "London") + SUMIFS(WestIndiesGeneral!$L:$L, WestIndiesGeneral!$B:$B, $A43, WestIndiesGeneral!$D:$D, "London") + SUMIFS(Anguilla!$L:$L, Anguilla!$B:$B, $A43, Anguilla!$D:$D, "London") + SUMIFS(Tortola!$L:$L, Tortola!$B:$B, $A43, Tortola!$D:$D, "London")</f>
        <v>0</v>
      </c>
      <c r="C43">
        <f>SUMIFS(Antigua!$L:$L, Antigua!$B:$B, $A43, Antigua!$D:$D, "Out Ports") + SUMIFS(Barbados!$L:$L, Barbados!$B:$B, $A43, Barbados!$D:$D, "Out Ports") + SUMIFS(Bermuda!$L:$L, Bermuda!$B:$B, $A43, Bermuda!$D:$D, "Out Ports") + SUMIFS(Jamaica!$L:$L, Jamaica!$B:$B, $A43, Jamaica!$D:$D, "Out Ports") + SUMIFS(Mountserat!$L:$L, Mountserat!$B:$B, $A43, Mountserat!$D:$D, "Out Ports") + SUMIFS(Nevis!$L:$L, Nevis!$B:$B, $A43, Nevis!$D:$D, "Out Ports") + SUMIFS('St Kitts'!$L:$L, 'St Kitts'!$B:$B, $A43, 'St Kitts'!$D:$D, "Out Ports") + SUMIFS(WestIndiesGeneral!$L:$L, WestIndiesGeneral!$B:$B, $A43, WestIndiesGeneral!$D:$D, "Out Ports") + SUMIFS(Anguilla!$L:$L, Anguilla!$B:$B, $A43, Anguilla!$D:$D, "Out Ports") + SUMIFS(Tortola!$L:$L, Tortola!$B:$B, $A43, Tortola!$D:$D, "Out Ports")</f>
        <v>0</v>
      </c>
      <c r="D43">
        <f t="shared" si="0"/>
        <v>0</v>
      </c>
    </row>
    <row r="44" spans="1:4" x14ac:dyDescent="0.25">
      <c r="A44" t="s">
        <v>40</v>
      </c>
      <c r="B44">
        <f>SUMIFS(Antigua!$L:$L, Antigua!$B:$B, $A44, Antigua!$D:$D, "London") + SUMIFS(Barbados!$L:$L, Barbados!$B:$B, $A44, Barbados!$D:$D, "London") + SUMIFS(Bermuda!$L:$L, Bermuda!$B:$B, $A44, Bermuda!$D:$D, "London") + SUMIFS(Jamaica!$L:$L, Jamaica!$B:$B, $A44, Jamaica!$D:$D, "London") + SUMIFS(Mountserat!$L:$L, Mountserat!$B:$B, $A44, Mountserat!$D:$D, "London") + SUMIFS(Nevis!$L:$L, Nevis!$B:$B, $A44, Nevis!$D:$D, "London") + SUMIFS('St Kitts'!$L:$L, 'St Kitts'!$B:$B, $A44, 'St Kitts'!$D:$D, "London") + SUMIFS(WestIndiesGeneral!$L:$L, WestIndiesGeneral!$B:$B, $A44, WestIndiesGeneral!$D:$D, "London") + SUMIFS(Anguilla!$L:$L, Anguilla!$B:$B, $A44, Anguilla!$D:$D, "London") + SUMIFS(Tortola!$L:$L, Tortola!$B:$B, $A44, Tortola!$D:$D, "London")</f>
        <v>0</v>
      </c>
      <c r="C44">
        <f>SUMIFS(Antigua!$L:$L, Antigua!$B:$B, $A44, Antigua!$D:$D, "Out Ports") + SUMIFS(Barbados!$L:$L, Barbados!$B:$B, $A44, Barbados!$D:$D, "Out Ports") + SUMIFS(Bermuda!$L:$L, Bermuda!$B:$B, $A44, Bermuda!$D:$D, "Out Ports") + SUMIFS(Jamaica!$L:$L, Jamaica!$B:$B, $A44, Jamaica!$D:$D, "Out Ports") + SUMIFS(Mountserat!$L:$L, Mountserat!$B:$B, $A44, Mountserat!$D:$D, "Out Ports") + SUMIFS(Nevis!$L:$L, Nevis!$B:$B, $A44, Nevis!$D:$D, "Out Ports") + SUMIFS('St Kitts'!$L:$L, 'St Kitts'!$B:$B, $A44, 'St Kitts'!$D:$D, "Out Ports") + SUMIFS(WestIndiesGeneral!$L:$L, WestIndiesGeneral!$B:$B, $A44, WestIndiesGeneral!$D:$D, "Out Ports") + SUMIFS(Anguilla!$L:$L, Anguilla!$B:$B, $A44, Anguilla!$D:$D, "Out Ports") + SUMIFS(Tortola!$L:$L, Tortola!$B:$B, $A44, Tortola!$D:$D, "Out Ports")</f>
        <v>0</v>
      </c>
      <c r="D44">
        <f t="shared" si="0"/>
        <v>0</v>
      </c>
    </row>
    <row r="45" spans="1:4" x14ac:dyDescent="0.25">
      <c r="A45" t="s">
        <v>80</v>
      </c>
      <c r="B45">
        <f>SUMIFS(Antigua!$L:$L, Antigua!$B:$B, $A45, Antigua!$D:$D, "London") + SUMIFS(Barbados!$L:$L, Barbados!$B:$B, $A45, Barbados!$D:$D, "London") + SUMIFS(Bermuda!$L:$L, Bermuda!$B:$B, $A45, Bermuda!$D:$D, "London") + SUMIFS(Jamaica!$L:$L, Jamaica!$B:$B, $A45, Jamaica!$D:$D, "London") + SUMIFS(Mountserat!$L:$L, Mountserat!$B:$B, $A45, Mountserat!$D:$D, "London") + SUMIFS(Nevis!$L:$L, Nevis!$B:$B, $A45, Nevis!$D:$D, "London") + SUMIFS('St Kitts'!$L:$L, 'St Kitts'!$B:$B, $A45, 'St Kitts'!$D:$D, "London") + SUMIFS(WestIndiesGeneral!$L:$L, WestIndiesGeneral!$B:$B, $A45, WestIndiesGeneral!$D:$D, "London") + SUMIFS(Anguilla!$L:$L, Anguilla!$B:$B, $A45, Anguilla!$D:$D, "London") + SUMIFS(Tortola!$L:$L, Tortola!$B:$B, $A45, Tortola!$D:$D, "London")</f>
        <v>0</v>
      </c>
      <c r="C45">
        <f>SUMIFS(Antigua!$L:$L, Antigua!$B:$B, $A45, Antigua!$D:$D, "Out Ports") + SUMIFS(Barbados!$L:$L, Barbados!$B:$B, $A45, Barbados!$D:$D, "Out Ports") + SUMIFS(Bermuda!$L:$L, Bermuda!$B:$B, $A45, Bermuda!$D:$D, "Out Ports") + SUMIFS(Jamaica!$L:$L, Jamaica!$B:$B, $A45, Jamaica!$D:$D, "Out Ports") + SUMIFS(Mountserat!$L:$L, Mountserat!$B:$B, $A45, Mountserat!$D:$D, "Out Ports") + SUMIFS(Nevis!$L:$L, Nevis!$B:$B, $A45, Nevis!$D:$D, "Out Ports") + SUMIFS('St Kitts'!$L:$L, 'St Kitts'!$B:$B, $A45, 'St Kitts'!$D:$D, "Out Ports") + SUMIFS(WestIndiesGeneral!$L:$L, WestIndiesGeneral!$B:$B, $A45, WestIndiesGeneral!$D:$D, "Out Ports") + SUMIFS(Anguilla!$L:$L, Anguilla!$B:$B, $A45, Anguilla!$D:$D, "Out Ports") + SUMIFS(Tortola!$L:$L, Tortola!$B:$B, $A45, Tortola!$D:$D, "Out Ports")</f>
        <v>0</v>
      </c>
      <c r="D45">
        <f t="shared" si="0"/>
        <v>0</v>
      </c>
    </row>
    <row r="46" spans="1:4" x14ac:dyDescent="0.25">
      <c r="A46" t="s">
        <v>45</v>
      </c>
      <c r="B46">
        <f>SUMIFS(Antigua!$L:$L, Antigua!$B:$B, $A46, Antigua!$D:$D, "London") + SUMIFS(Barbados!$L:$L, Barbados!$B:$B, $A46, Barbados!$D:$D, "London") + SUMIFS(Bermuda!$L:$L, Bermuda!$B:$B, $A46, Bermuda!$D:$D, "London") + SUMIFS(Jamaica!$L:$L, Jamaica!$B:$B, $A46, Jamaica!$D:$D, "London") + SUMIFS(Mountserat!$L:$L, Mountserat!$B:$B, $A46, Mountserat!$D:$D, "London") + SUMIFS(Nevis!$L:$L, Nevis!$B:$B, $A46, Nevis!$D:$D, "London") + SUMIFS('St Kitts'!$L:$L, 'St Kitts'!$B:$B, $A46, 'St Kitts'!$D:$D, "London") + SUMIFS(WestIndiesGeneral!$L:$L, WestIndiesGeneral!$B:$B, $A46, WestIndiesGeneral!$D:$D, "London") + SUMIFS(Anguilla!$L:$L, Anguilla!$B:$B, $A46, Anguilla!$D:$D, "London") + SUMIFS(Tortola!$L:$L, Tortola!$B:$B, $A46, Tortola!$D:$D, "London")</f>
        <v>0.25558035714285715</v>
      </c>
      <c r="C46">
        <f>SUMIFS(Antigua!$L:$L, Antigua!$B:$B, $A46, Antigua!$D:$D, "Out Ports") + SUMIFS(Barbados!$L:$L, Barbados!$B:$B, $A46, Barbados!$D:$D, "Out Ports") + SUMIFS(Bermuda!$L:$L, Bermuda!$B:$B, $A46, Bermuda!$D:$D, "Out Ports") + SUMIFS(Jamaica!$L:$L, Jamaica!$B:$B, $A46, Jamaica!$D:$D, "Out Ports") + SUMIFS(Mountserat!$L:$L, Mountserat!$B:$B, $A46, Mountserat!$D:$D, "Out Ports") + SUMIFS(Nevis!$L:$L, Nevis!$B:$B, $A46, Nevis!$D:$D, "Out Ports") + SUMIFS('St Kitts'!$L:$L, 'St Kitts'!$B:$B, $A46, 'St Kitts'!$D:$D, "Out Ports") + SUMIFS(WestIndiesGeneral!$L:$L, WestIndiesGeneral!$B:$B, $A46, WestIndiesGeneral!$D:$D, "Out Ports") + SUMIFS(Anguilla!$L:$L, Anguilla!$B:$B, $A46, Anguilla!$D:$D, "Out Ports") + SUMIFS(Tortola!$L:$L, Tortola!$B:$B, $A46, Tortola!$D:$D, "Out Ports")</f>
        <v>0.14285714285714285</v>
      </c>
      <c r="D46">
        <f t="shared" si="0"/>
        <v>0.3984375</v>
      </c>
    </row>
    <row r="47" spans="1:4" x14ac:dyDescent="0.25">
      <c r="A47" t="s">
        <v>114</v>
      </c>
      <c r="B47">
        <f>SUMIFS(Antigua!$L:$L, Antigua!$B:$B, $A47, Antigua!$D:$D, "London") + SUMIFS(Barbados!$L:$L, Barbados!$B:$B, $A47, Barbados!$D:$D, "London") + SUMIFS(Bermuda!$L:$L, Bermuda!$B:$B, $A47, Bermuda!$D:$D, "London") + SUMIFS(Jamaica!$L:$L, Jamaica!$B:$B, $A47, Jamaica!$D:$D, "London") + SUMIFS(Mountserat!$L:$L, Mountserat!$B:$B, $A47, Mountserat!$D:$D, "London") + SUMIFS(Nevis!$L:$L, Nevis!$B:$B, $A47, Nevis!$D:$D, "London") + SUMIFS('St Kitts'!$L:$L, 'St Kitts'!$B:$B, $A47, 'St Kitts'!$D:$D, "London") + SUMIFS(WestIndiesGeneral!$L:$L, WestIndiesGeneral!$B:$B, $A47, WestIndiesGeneral!$D:$D, "London") + SUMIFS(Anguilla!$L:$L, Anguilla!$B:$B, $A47, Anguilla!$D:$D, "London") + SUMIFS(Tortola!$L:$L, Tortola!$B:$B, $A47, Tortola!$D:$D, "London")</f>
        <v>30</v>
      </c>
      <c r="C47">
        <f>SUMIFS(Antigua!$L:$L, Antigua!$B:$B, $A47, Antigua!$D:$D, "Out Ports") + SUMIFS(Barbados!$L:$L, Barbados!$B:$B, $A47, Barbados!$D:$D, "Out Ports") + SUMIFS(Bermuda!$L:$L, Bermuda!$B:$B, $A47, Bermuda!$D:$D, "Out Ports") + SUMIFS(Jamaica!$L:$L, Jamaica!$B:$B, $A47, Jamaica!$D:$D, "Out Ports") + SUMIFS(Mountserat!$L:$L, Mountserat!$B:$B, $A47, Mountserat!$D:$D, "Out Ports") + SUMIFS(Nevis!$L:$L, Nevis!$B:$B, $A47, Nevis!$D:$D, "Out Ports") + SUMIFS('St Kitts'!$L:$L, 'St Kitts'!$B:$B, $A47, 'St Kitts'!$D:$D, "Out Ports") + SUMIFS(WestIndiesGeneral!$L:$L, WestIndiesGeneral!$B:$B, $A47, WestIndiesGeneral!$D:$D, "Out Ports") + SUMIFS(Anguilla!$L:$L, Anguilla!$B:$B, $A47, Anguilla!$D:$D, "Out Ports") + SUMIFS(Tortola!$L:$L, Tortola!$B:$B, $A47, Tortola!$D:$D, "Out Ports")</f>
        <v>0</v>
      </c>
      <c r="D47">
        <f t="shared" si="0"/>
        <v>30</v>
      </c>
    </row>
    <row r="48" spans="1:4" x14ac:dyDescent="0.25">
      <c r="A48" t="s">
        <v>16</v>
      </c>
      <c r="B48">
        <f>SUMIFS(Antigua!$L:$L, Antigua!$B:$B, $A48, Antigua!$D:$D, "London") + SUMIFS(Barbados!$L:$L, Barbados!$B:$B, $A48, Barbados!$D:$D, "London") + SUMIFS(Bermuda!$L:$L, Bermuda!$B:$B, $A48, Bermuda!$D:$D, "London") + SUMIFS(Jamaica!$L:$L, Jamaica!$B:$B, $A48, Jamaica!$D:$D, "London") + SUMIFS(Mountserat!$L:$L, Mountserat!$B:$B, $A48, Mountserat!$D:$D, "London") + SUMIFS(Nevis!$L:$L, Nevis!$B:$B, $A48, Nevis!$D:$D, "London") + SUMIFS('St Kitts'!$L:$L, 'St Kitts'!$B:$B, $A48, 'St Kitts'!$D:$D, "London") + SUMIFS(WestIndiesGeneral!$L:$L, WestIndiesGeneral!$B:$B, $A48, WestIndiesGeneral!$D:$D, "London") + SUMIFS(Anguilla!$L:$L, Anguilla!$B:$B, $A48, Anguilla!$D:$D, "London") + SUMIFS(Tortola!$L:$L, Tortola!$B:$B, $A48, Tortola!$D:$D, "London")</f>
        <v>232.82410714285714</v>
      </c>
      <c r="C48">
        <f>SUMIFS(Antigua!$L:$L, Antigua!$B:$B, $A48, Antigua!$D:$D, "Out Ports") + SUMIFS(Barbados!$L:$L, Barbados!$B:$B, $A48, Barbados!$D:$D, "Out Ports") + SUMIFS(Bermuda!$L:$L, Bermuda!$B:$B, $A48, Bermuda!$D:$D, "Out Ports") + SUMIFS(Jamaica!$L:$L, Jamaica!$B:$B, $A48, Jamaica!$D:$D, "Out Ports") + SUMIFS(Mountserat!$L:$L, Mountserat!$B:$B, $A48, Mountserat!$D:$D, "Out Ports") + SUMIFS(Nevis!$L:$L, Nevis!$B:$B, $A48, Nevis!$D:$D, "Out Ports") + SUMIFS('St Kitts'!$L:$L, 'St Kitts'!$B:$B, $A48, 'St Kitts'!$D:$D, "Out Ports") + SUMIFS(WestIndiesGeneral!$L:$L, WestIndiesGeneral!$B:$B, $A48, WestIndiesGeneral!$D:$D, "Out Ports") + SUMIFS(Anguilla!$L:$L, Anguilla!$B:$B, $A48, Anguilla!$D:$D, "Out Ports") + SUMIFS(Tortola!$L:$L, Tortola!$B:$B, $A48, Tortola!$D:$D, "Out Ports")</f>
        <v>105.68258928571429</v>
      </c>
      <c r="D48">
        <f t="shared" si="0"/>
        <v>338.50669642857144</v>
      </c>
    </row>
    <row r="49" spans="1:4" x14ac:dyDescent="0.25">
      <c r="A49" t="s">
        <v>125</v>
      </c>
      <c r="B49">
        <f>SUMIFS(Antigua!$L:$L, Antigua!$B:$B, $A49, Antigua!$D:$D, "London") + SUMIFS(Barbados!$L:$L, Barbados!$B:$B, $A49, Barbados!$D:$D, "London") + SUMIFS(Bermuda!$L:$L, Bermuda!$B:$B, $A49, Bermuda!$D:$D, "London") + SUMIFS(Jamaica!$L:$L, Jamaica!$B:$B, $A49, Jamaica!$D:$D, "London") + SUMIFS(Mountserat!$L:$L, Mountserat!$B:$B, $A49, Mountserat!$D:$D, "London") + SUMIFS(Nevis!$L:$L, Nevis!$B:$B, $A49, Nevis!$D:$D, "London") + SUMIFS('St Kitts'!$L:$L, 'St Kitts'!$B:$B, $A49, 'St Kitts'!$D:$D, "London") + SUMIFS(WestIndiesGeneral!$L:$L, WestIndiesGeneral!$B:$B, $A49, WestIndiesGeneral!$D:$D, "London") + SUMIFS(Anguilla!$L:$L, Anguilla!$B:$B, $A49, Anguilla!$D:$D, "London") + SUMIFS(Tortola!$L:$L, Tortola!$B:$B, $A49, Tortola!$D:$D, "London")</f>
        <v>6.3587053571428571</v>
      </c>
      <c r="C49">
        <f>SUMIFS(Antigua!$L:$L, Antigua!$B:$B, $A49, Antigua!$D:$D, "Out Ports") + SUMIFS(Barbados!$L:$L, Barbados!$B:$B, $A49, Barbados!$D:$D, "Out Ports") + SUMIFS(Bermuda!$L:$L, Bermuda!$B:$B, $A49, Bermuda!$D:$D, "Out Ports") + SUMIFS(Jamaica!$L:$L, Jamaica!$B:$B, $A49, Jamaica!$D:$D, "Out Ports") + SUMIFS(Mountserat!$L:$L, Mountserat!$B:$B, $A49, Mountserat!$D:$D, "Out Ports") + SUMIFS(Nevis!$L:$L, Nevis!$B:$B, $A49, Nevis!$D:$D, "Out Ports") + SUMIFS('St Kitts'!$L:$L, 'St Kitts'!$B:$B, $A49, 'St Kitts'!$D:$D, "Out Ports") + SUMIFS(WestIndiesGeneral!$L:$L, WestIndiesGeneral!$B:$B, $A49, WestIndiesGeneral!$D:$D, "Out Ports") + SUMIFS(Anguilla!$L:$L, Anguilla!$B:$B, $A49, Anguilla!$D:$D, "Out Ports") + SUMIFS(Tortola!$L:$L, Tortola!$B:$B, $A49, Tortola!$D:$D, "Out Ports")</f>
        <v>0</v>
      </c>
      <c r="D49">
        <f t="shared" si="0"/>
        <v>6.3587053571428571</v>
      </c>
    </row>
    <row r="50" spans="1:4" x14ac:dyDescent="0.25">
      <c r="A50" t="s">
        <v>17</v>
      </c>
      <c r="B50">
        <f>SUMIFS(Antigua!$L:$L, Antigua!$B:$B, $A50, Antigua!$D:$D, "London") + SUMIFS(Barbados!$L:$L, Barbados!$B:$B, $A50, Barbados!$D:$D, "London") + SUMIFS(Bermuda!$L:$L, Bermuda!$B:$B, $A50, Bermuda!$D:$D, "London") + SUMIFS(Jamaica!$L:$L, Jamaica!$B:$B, $A50, Jamaica!$D:$D, "London") + SUMIFS(Mountserat!$L:$L, Mountserat!$B:$B, $A50, Mountserat!$D:$D, "London") + SUMIFS(Nevis!$L:$L, Nevis!$B:$B, $A50, Nevis!$D:$D, "London") + SUMIFS('St Kitts'!$L:$L, 'St Kitts'!$B:$B, $A50, 'St Kitts'!$D:$D, "London") + SUMIFS(WestIndiesGeneral!$L:$L, WestIndiesGeneral!$B:$B, $A50, WestIndiesGeneral!$D:$D, "London") + SUMIFS(Anguilla!$L:$L, Anguilla!$B:$B, $A50, Anguilla!$D:$D, "London") + SUMIFS(Tortola!$L:$L, Tortola!$B:$B, $A50, Tortola!$D:$D, "London")</f>
        <v>0</v>
      </c>
      <c r="C50">
        <f>SUMIFS(Antigua!$L:$L, Antigua!$B:$B, $A50, Antigua!$D:$D, "Out Ports") + SUMIFS(Barbados!$L:$L, Barbados!$B:$B, $A50, Barbados!$D:$D, "Out Ports") + SUMIFS(Bermuda!$L:$L, Bermuda!$B:$B, $A50, Bermuda!$D:$D, "Out Ports") + SUMIFS(Jamaica!$L:$L, Jamaica!$B:$B, $A50, Jamaica!$D:$D, "Out Ports") + SUMIFS(Mountserat!$L:$L, Mountserat!$B:$B, $A50, Mountserat!$D:$D, "Out Ports") + SUMIFS(Nevis!$L:$L, Nevis!$B:$B, $A50, Nevis!$D:$D, "Out Ports") + SUMIFS('St Kitts'!$L:$L, 'St Kitts'!$B:$B, $A50, 'St Kitts'!$D:$D, "Out Ports") + SUMIFS(WestIndiesGeneral!$L:$L, WestIndiesGeneral!$B:$B, $A50, WestIndiesGeneral!$D:$D, "Out Ports") + SUMIFS(Anguilla!$L:$L, Anguilla!$B:$B, $A50, Anguilla!$D:$D, "Out Ports") + SUMIFS(Tortola!$L:$L, Tortola!$B:$B, $A50, Tortola!$D:$D, "Out Ports")</f>
        <v>63.388839285714283</v>
      </c>
      <c r="D50">
        <f t="shared" si="0"/>
        <v>63.388839285714283</v>
      </c>
    </row>
    <row r="51" spans="1:4" x14ac:dyDescent="0.25">
      <c r="A51" t="s">
        <v>18</v>
      </c>
      <c r="B51">
        <f>SUMIFS(Antigua!$L:$L, Antigua!$B:$B, $A51, Antigua!$D:$D, "London") + SUMIFS(Barbados!$L:$L, Barbados!$B:$B, $A51, Barbados!$D:$D, "London") + SUMIFS(Bermuda!$L:$L, Bermuda!$B:$B, $A51, Bermuda!$D:$D, "London") + SUMIFS(Jamaica!$L:$L, Jamaica!$B:$B, $A51, Jamaica!$D:$D, "London") + SUMIFS(Mountserat!$L:$L, Mountserat!$B:$B, $A51, Mountserat!$D:$D, "London") + SUMIFS(Nevis!$L:$L, Nevis!$B:$B, $A51, Nevis!$D:$D, "London") + SUMIFS('St Kitts'!$L:$L, 'St Kitts'!$B:$B, $A51, 'St Kitts'!$D:$D, "London") + SUMIFS(WestIndiesGeneral!$L:$L, WestIndiesGeneral!$B:$B, $A51, WestIndiesGeneral!$D:$D, "London") + SUMIFS(Anguilla!$L:$L, Anguilla!$B:$B, $A51, Anguilla!$D:$D, "London") + SUMIFS(Tortola!$L:$L, Tortola!$B:$B, $A51, Tortola!$D:$D, "London")</f>
        <v>3268.7133928571429</v>
      </c>
      <c r="C51">
        <f>SUMIFS(Antigua!$L:$L, Antigua!$B:$B, $A51, Antigua!$D:$D, "Out Ports") + SUMIFS(Barbados!$L:$L, Barbados!$B:$B, $A51, Barbados!$D:$D, "Out Ports") + SUMIFS(Bermuda!$L:$L, Bermuda!$B:$B, $A51, Bermuda!$D:$D, "Out Ports") + SUMIFS(Jamaica!$L:$L, Jamaica!$B:$B, $A51, Jamaica!$D:$D, "Out Ports") + SUMIFS(Mountserat!$L:$L, Mountserat!$B:$B, $A51, Mountserat!$D:$D, "Out Ports") + SUMIFS(Nevis!$L:$L, Nevis!$B:$B, $A51, Nevis!$D:$D, "Out Ports") + SUMIFS('St Kitts'!$L:$L, 'St Kitts'!$B:$B, $A51, 'St Kitts'!$D:$D, "Out Ports") + SUMIFS(WestIndiesGeneral!$L:$L, WestIndiesGeneral!$B:$B, $A51, WestIndiesGeneral!$D:$D, "Out Ports") + SUMIFS(Anguilla!$L:$L, Anguilla!$B:$B, $A51, Anguilla!$D:$D, "Out Ports") + SUMIFS(Tortola!$L:$L, Tortola!$B:$B, $A51, Tortola!$D:$D, "Out Ports")</f>
        <v>884.17544642857149</v>
      </c>
      <c r="D51">
        <f t="shared" si="0"/>
        <v>4152.8888392857143</v>
      </c>
    </row>
    <row r="52" spans="1:4" x14ac:dyDescent="0.25">
      <c r="A52" t="s">
        <v>24</v>
      </c>
      <c r="B52">
        <f>SUMIFS(Antigua!$L:$L, Antigua!$B:$B, $A52, Antigua!$D:$D, "London") + SUMIFS(Barbados!$L:$L, Barbados!$B:$B, $A52, Barbados!$D:$D, "London") + SUMIFS(Bermuda!$L:$L, Bermuda!$B:$B, $A52, Bermuda!$D:$D, "London") + SUMIFS(Jamaica!$L:$L, Jamaica!$B:$B, $A52, Jamaica!$D:$D, "London") + SUMIFS(Mountserat!$L:$L, Mountserat!$B:$B, $A52, Mountserat!$D:$D, "London") + SUMIFS(Nevis!$L:$L, Nevis!$B:$B, $A52, Nevis!$D:$D, "London") + SUMIFS('St Kitts'!$L:$L, 'St Kitts'!$B:$B, $A52, 'St Kitts'!$D:$D, "London") + SUMIFS(WestIndiesGeneral!$L:$L, WestIndiesGeneral!$B:$B, $A52, WestIndiesGeneral!$D:$D, "London") + SUMIFS(Anguilla!$L:$L, Anguilla!$B:$B, $A52, Anguilla!$D:$D, "London") + SUMIFS(Tortola!$L:$L, Tortola!$B:$B, $A52, Tortola!$D:$D, "London")</f>
        <v>12.642857142857142</v>
      </c>
      <c r="C52">
        <f>SUMIFS(Antigua!$L:$L, Antigua!$B:$B, $A52, Antigua!$D:$D, "Out Ports") + SUMIFS(Barbados!$L:$L, Barbados!$B:$B, $A52, Barbados!$D:$D, "Out Ports") + SUMIFS(Bermuda!$L:$L, Bermuda!$B:$B, $A52, Bermuda!$D:$D, "Out Ports") + SUMIFS(Jamaica!$L:$L, Jamaica!$B:$B, $A52, Jamaica!$D:$D, "Out Ports") + SUMIFS(Mountserat!$L:$L, Mountserat!$B:$B, $A52, Mountserat!$D:$D, "Out Ports") + SUMIFS(Nevis!$L:$L, Nevis!$B:$B, $A52, Nevis!$D:$D, "Out Ports") + SUMIFS('St Kitts'!$L:$L, 'St Kitts'!$B:$B, $A52, 'St Kitts'!$D:$D, "Out Ports") + SUMIFS(WestIndiesGeneral!$L:$L, WestIndiesGeneral!$B:$B, $A52, WestIndiesGeneral!$D:$D, "Out Ports") + SUMIFS(Anguilla!$L:$L, Anguilla!$B:$B, $A52, Anguilla!$D:$D, "Out Ports") + SUMIFS(Tortola!$L:$L, Tortola!$B:$B, $A52, Tortola!$D:$D, "Out Ports")</f>
        <v>0.8995535714285714</v>
      </c>
      <c r="D52">
        <f t="shared" si="0"/>
        <v>13.542410714285714</v>
      </c>
    </row>
    <row r="53" spans="1:4" x14ac:dyDescent="0.25">
      <c r="A53" t="s">
        <v>19</v>
      </c>
      <c r="B53">
        <f>SUMIFS(Antigua!$L:$L, Antigua!$B:$B, $A53, Antigua!$D:$D, "London") + SUMIFS(Barbados!$L:$L, Barbados!$B:$B, $A53, Barbados!$D:$D, "London") + SUMIFS(Bermuda!$L:$L, Bermuda!$B:$B, $A53, Bermuda!$D:$D, "London") + SUMIFS(Jamaica!$L:$L, Jamaica!$B:$B, $A53, Jamaica!$D:$D, "London") + SUMIFS(Mountserat!$L:$L, Mountserat!$B:$B, $A53, Mountserat!$D:$D, "London") + SUMIFS(Nevis!$L:$L, Nevis!$B:$B, $A53, Nevis!$D:$D, "London") + SUMIFS('St Kitts'!$L:$L, 'St Kitts'!$B:$B, $A53, 'St Kitts'!$D:$D, "London") + SUMIFS(WestIndiesGeneral!$L:$L, WestIndiesGeneral!$B:$B, $A53, WestIndiesGeneral!$D:$D, "London") + SUMIFS(Anguilla!$L:$L, Anguilla!$B:$B, $A53, Anguilla!$D:$D, "London") + SUMIFS(Tortola!$L:$L, Tortola!$B:$B, $A53, Tortola!$D:$D, "London")</f>
        <v>0</v>
      </c>
      <c r="C53">
        <f>SUMIFS(Antigua!$L:$L, Antigua!$B:$B, $A53, Antigua!$D:$D, "Out Ports") + SUMIFS(Barbados!$L:$L, Barbados!$B:$B, $A53, Barbados!$D:$D, "Out Ports") + SUMIFS(Bermuda!$L:$L, Bermuda!$B:$B, $A53, Bermuda!$D:$D, "Out Ports") + SUMIFS(Jamaica!$L:$L, Jamaica!$B:$B, $A53, Jamaica!$D:$D, "Out Ports") + SUMIFS(Mountserat!$L:$L, Mountserat!$B:$B, $A53, Mountserat!$D:$D, "Out Ports") + SUMIFS(Nevis!$L:$L, Nevis!$B:$B, $A53, Nevis!$D:$D, "Out Ports") + SUMIFS('St Kitts'!$L:$L, 'St Kitts'!$B:$B, $A53, 'St Kitts'!$D:$D, "Out Ports") + SUMIFS(WestIndiesGeneral!$L:$L, WestIndiesGeneral!$B:$B, $A53, WestIndiesGeneral!$D:$D, "Out Ports") + SUMIFS(Anguilla!$L:$L, Anguilla!$B:$B, $A53, Anguilla!$D:$D, "Out Ports") + SUMIFS(Tortola!$L:$L, Tortola!$B:$B, $A53, Tortola!$D:$D, "Out Ports")</f>
        <v>2.7191964285714283</v>
      </c>
      <c r="D53">
        <f t="shared" si="0"/>
        <v>2.7191964285714283</v>
      </c>
    </row>
    <row r="54" spans="1:4" x14ac:dyDescent="0.25">
      <c r="A54" t="s">
        <v>43</v>
      </c>
      <c r="B54">
        <f>SUMIFS(Antigua!$L:$L, Antigua!$B:$B, $A54, Antigua!$D:$D, "London") + SUMIFS(Barbados!$L:$L, Barbados!$B:$B, $A54, Barbados!$D:$D, "London") + SUMIFS(Bermuda!$L:$L, Bermuda!$B:$B, $A54, Bermuda!$D:$D, "London") + SUMIFS(Jamaica!$L:$L, Jamaica!$B:$B, $A54, Jamaica!$D:$D, "London") + SUMIFS(Mountserat!$L:$L, Mountserat!$B:$B, $A54, Mountserat!$D:$D, "London") + SUMIFS(Nevis!$L:$L, Nevis!$B:$B, $A54, Nevis!$D:$D, "London") + SUMIFS('St Kitts'!$L:$L, 'St Kitts'!$B:$B, $A54, 'St Kitts'!$D:$D, "London") + SUMIFS(WestIndiesGeneral!$L:$L, WestIndiesGeneral!$B:$B, $A54, WestIndiesGeneral!$D:$D, "London") + SUMIFS(Anguilla!$L:$L, Anguilla!$B:$B, $A54, Anguilla!$D:$D, "London") + SUMIFS(Tortola!$L:$L, Tortola!$B:$B, $A54, Tortola!$D:$D, "London")</f>
        <v>0.76607142857142863</v>
      </c>
      <c r="C54">
        <f>SUMIFS(Antigua!$L:$L, Antigua!$B:$B, $A54, Antigua!$D:$D, "Out Ports") + SUMIFS(Barbados!$L:$L, Barbados!$B:$B, $A54, Barbados!$D:$D, "Out Ports") + SUMIFS(Bermuda!$L:$L, Bermuda!$B:$B, $A54, Bermuda!$D:$D, "Out Ports") + SUMIFS(Jamaica!$L:$L, Jamaica!$B:$B, $A54, Jamaica!$D:$D, "Out Ports") + SUMIFS(Mountserat!$L:$L, Mountserat!$B:$B, $A54, Mountserat!$D:$D, "Out Ports") + SUMIFS(Nevis!$L:$L, Nevis!$B:$B, $A54, Nevis!$D:$D, "Out Ports") + SUMIFS('St Kitts'!$L:$L, 'St Kitts'!$B:$B, $A54, 'St Kitts'!$D:$D, "Out Ports") + SUMIFS(WestIndiesGeneral!$L:$L, WestIndiesGeneral!$B:$B, $A54, WestIndiesGeneral!$D:$D, "Out Ports") + SUMIFS(Anguilla!$L:$L, Anguilla!$B:$B, $A54, Anguilla!$D:$D, "Out Ports") + SUMIFS(Tortola!$L:$L, Tortola!$B:$B, $A54, Tortola!$D:$D, "Out Ports")</f>
        <v>0</v>
      </c>
      <c r="D54">
        <f t="shared" si="0"/>
        <v>0.76607142857142863</v>
      </c>
    </row>
    <row r="55" spans="1:4" x14ac:dyDescent="0.25">
      <c r="A55" t="s">
        <v>82</v>
      </c>
      <c r="B55">
        <f>SUMIFS(Antigua!$L:$L, Antigua!$B:$B, $A55, Antigua!$D:$D, "London") + SUMIFS(Barbados!$L:$L, Barbados!$B:$B, $A55, Barbados!$D:$D, "London") + SUMIFS(Bermuda!$L:$L, Bermuda!$B:$B, $A55, Bermuda!$D:$D, "London") + SUMIFS(Jamaica!$L:$L, Jamaica!$B:$B, $A55, Jamaica!$D:$D, "London") + SUMIFS(Mountserat!$L:$L, Mountserat!$B:$B, $A55, Mountserat!$D:$D, "London") + SUMIFS(Nevis!$L:$L, Nevis!$B:$B, $A55, Nevis!$D:$D, "London") + SUMIFS('St Kitts'!$L:$L, 'St Kitts'!$B:$B, $A55, 'St Kitts'!$D:$D, "London") + SUMIFS(WestIndiesGeneral!$L:$L, WestIndiesGeneral!$B:$B, $A55, WestIndiesGeneral!$D:$D, "London") + SUMIFS(Anguilla!$L:$L, Anguilla!$B:$B, $A55, Anguilla!$D:$D, "London") + SUMIFS(Tortola!$L:$L, Tortola!$B:$B, $A55, Tortola!$D:$D, "London")</f>
        <v>0</v>
      </c>
      <c r="C55">
        <f>SUMIFS(Antigua!$L:$L, Antigua!$B:$B, $A55, Antigua!$D:$D, "Out Ports") + SUMIFS(Barbados!$L:$L, Barbados!$B:$B, $A55, Barbados!$D:$D, "Out Ports") + SUMIFS(Bermuda!$L:$L, Bermuda!$B:$B, $A55, Bermuda!$D:$D, "Out Ports") + SUMIFS(Jamaica!$L:$L, Jamaica!$B:$B, $A55, Jamaica!$D:$D, "Out Ports") + SUMIFS(Mountserat!$L:$L, Mountserat!$B:$B, $A55, Mountserat!$D:$D, "Out Ports") + SUMIFS(Nevis!$L:$L, Nevis!$B:$B, $A55, Nevis!$D:$D, "Out Ports") + SUMIFS('St Kitts'!$L:$L, 'St Kitts'!$B:$B, $A55, 'St Kitts'!$D:$D, "Out Ports") + SUMIFS(WestIndiesGeneral!$L:$L, WestIndiesGeneral!$B:$B, $A55, WestIndiesGeneral!$D:$D, "Out Ports") + SUMIFS(Anguilla!$L:$L, Anguilla!$B:$B, $A55, Anguilla!$D:$D, "Out Ports") + SUMIFS(Tortola!$L:$L, Tortola!$B:$B, $A55, Tortola!$D:$D, "Out Ports")</f>
        <v>0</v>
      </c>
      <c r="D55">
        <f t="shared" si="0"/>
        <v>0</v>
      </c>
    </row>
    <row r="56" spans="1:4" x14ac:dyDescent="0.25">
      <c r="A56" t="s">
        <v>52</v>
      </c>
      <c r="B56">
        <f>SUMIFS(Antigua!$L:$L, Antigua!$B:$B, $A56, Antigua!$D:$D, "London") + SUMIFS(Barbados!$L:$L, Barbados!$B:$B, $A56, Barbados!$D:$D, "London") + SUMIFS(Bermuda!$L:$L, Bermuda!$B:$B, $A56, Bermuda!$D:$D, "London") + SUMIFS(Jamaica!$L:$L, Jamaica!$B:$B, $A56, Jamaica!$D:$D, "London") + SUMIFS(Mountserat!$L:$L, Mountserat!$B:$B, $A56, Mountserat!$D:$D, "London") + SUMIFS(Nevis!$L:$L, Nevis!$B:$B, $A56, Nevis!$D:$D, "London") + SUMIFS('St Kitts'!$L:$L, 'St Kitts'!$B:$B, $A56, 'St Kitts'!$D:$D, "London") + SUMIFS(WestIndiesGeneral!$L:$L, WestIndiesGeneral!$B:$B, $A56, WestIndiesGeneral!$D:$D, "London") + SUMIFS(Anguilla!$L:$L, Anguilla!$B:$B, $A56, Anguilla!$D:$D, "London") + SUMIFS(Tortola!$L:$L, Tortola!$B:$B, $A56, Tortola!$D:$D, "London")</f>
        <v>2.1151785714285714</v>
      </c>
      <c r="C56">
        <f>SUMIFS(Antigua!$L:$L, Antigua!$B:$B, $A56, Antigua!$D:$D, "Out Ports") + SUMIFS(Barbados!$L:$L, Barbados!$B:$B, $A56, Barbados!$D:$D, "Out Ports") + SUMIFS(Bermuda!$L:$L, Bermuda!$B:$B, $A56, Bermuda!$D:$D, "Out Ports") + SUMIFS(Jamaica!$L:$L, Jamaica!$B:$B, $A56, Jamaica!$D:$D, "Out Ports") + SUMIFS(Mountserat!$L:$L, Mountserat!$B:$B, $A56, Mountserat!$D:$D, "Out Ports") + SUMIFS(Nevis!$L:$L, Nevis!$B:$B, $A56, Nevis!$D:$D, "Out Ports") + SUMIFS('St Kitts'!$L:$L, 'St Kitts'!$B:$B, $A56, 'St Kitts'!$D:$D, "Out Ports") + SUMIFS(WestIndiesGeneral!$L:$L, WestIndiesGeneral!$B:$B, $A56, WestIndiesGeneral!$D:$D, "Out Ports") + SUMIFS(Anguilla!$L:$L, Anguilla!$B:$B, $A56, Anguilla!$D:$D, "Out Ports") + SUMIFS(Tortola!$L:$L, Tortola!$B:$B, $A56, Tortola!$D:$D, "Out Ports")</f>
        <v>0.58348214285714295</v>
      </c>
      <c r="D56">
        <f t="shared" si="0"/>
        <v>2.6986607142857144</v>
      </c>
    </row>
    <row r="57" spans="1:4" x14ac:dyDescent="0.25">
      <c r="A57" t="s">
        <v>91</v>
      </c>
      <c r="B57">
        <f>SUMIFS(Antigua!$L:$L, Antigua!$B:$B, $A57, Antigua!$D:$D, "London") + SUMIFS(Barbados!$L:$L, Barbados!$B:$B, $A57, Barbados!$D:$D, "London") + SUMIFS(Bermuda!$L:$L, Bermuda!$B:$B, $A57, Bermuda!$D:$D, "London") + SUMIFS(Jamaica!$L:$L, Jamaica!$B:$B, $A57, Jamaica!$D:$D, "London") + SUMIFS(Mountserat!$L:$L, Mountserat!$B:$B, $A57, Mountserat!$D:$D, "London") + SUMIFS(Nevis!$L:$L, Nevis!$B:$B, $A57, Nevis!$D:$D, "London") + SUMIFS('St Kitts'!$L:$L, 'St Kitts'!$B:$B, $A57, 'St Kitts'!$D:$D, "London") + SUMIFS(WestIndiesGeneral!$L:$L, WestIndiesGeneral!$B:$B, $A57, WestIndiesGeneral!$D:$D, "London") + SUMIFS(Anguilla!$L:$L, Anguilla!$B:$B, $A57, Anguilla!$D:$D, "London") + SUMIFS(Tortola!$L:$L, Tortola!$B:$B, $A57, Tortola!$D:$D, "London")</f>
        <v>0.81875000000000009</v>
      </c>
      <c r="C57">
        <f>SUMIFS(Antigua!$L:$L, Antigua!$B:$B, $A57, Antigua!$D:$D, "Out Ports") + SUMIFS(Barbados!$L:$L, Barbados!$B:$B, $A57, Barbados!$D:$D, "Out Ports") + SUMIFS(Bermuda!$L:$L, Bermuda!$B:$B, $A57, Bermuda!$D:$D, "Out Ports") + SUMIFS(Jamaica!$L:$L, Jamaica!$B:$B, $A57, Jamaica!$D:$D, "Out Ports") + SUMIFS(Mountserat!$L:$L, Mountserat!$B:$B, $A57, Mountserat!$D:$D, "Out Ports") + SUMIFS(Nevis!$L:$L, Nevis!$B:$B, $A57, Nevis!$D:$D, "Out Ports") + SUMIFS('St Kitts'!$L:$L, 'St Kitts'!$B:$B, $A57, 'St Kitts'!$D:$D, "Out Ports") + SUMIFS(WestIndiesGeneral!$L:$L, WestIndiesGeneral!$B:$B, $A57, WestIndiesGeneral!$D:$D, "Out Ports") + SUMIFS(Anguilla!$L:$L, Anguilla!$B:$B, $A57, Anguilla!$D:$D, "Out Ports") + SUMIFS(Tortola!$L:$L, Tortola!$B:$B, $A57, Tortola!$D:$D, "Out Ports")</f>
        <v>0.25357142857142856</v>
      </c>
      <c r="D57">
        <f t="shared" si="0"/>
        <v>1.0723214285714286</v>
      </c>
    </row>
    <row r="58" spans="1:4" x14ac:dyDescent="0.25">
      <c r="A58" t="s">
        <v>20</v>
      </c>
      <c r="B58">
        <f>SUMIFS(Antigua!$L:$L, Antigua!$B:$B, $A58, Antigua!$D:$D, "London") + SUMIFS(Barbados!$L:$L, Barbados!$B:$B, $A58, Barbados!$D:$D, "London") + SUMIFS(Bermuda!$L:$L, Bermuda!$B:$B, $A58, Bermuda!$D:$D, "London") + SUMIFS(Jamaica!$L:$L, Jamaica!$B:$B, $A58, Jamaica!$D:$D, "London") + SUMIFS(Mountserat!$L:$L, Mountserat!$B:$B, $A58, Mountserat!$D:$D, "London") + SUMIFS(Nevis!$L:$L, Nevis!$B:$B, $A58, Nevis!$D:$D, "London") + SUMIFS('St Kitts'!$L:$L, 'St Kitts'!$B:$B, $A58, 'St Kitts'!$D:$D, "London") + SUMIFS(WestIndiesGeneral!$L:$L, WestIndiesGeneral!$B:$B, $A58, WestIndiesGeneral!$D:$D, "London") + SUMIFS(Anguilla!$L:$L, Anguilla!$B:$B, $A58, Anguilla!$D:$D, "London") + SUMIFS(Tortola!$L:$L, Tortola!$B:$B, $A58, Tortola!$D:$D, "London")</f>
        <v>0</v>
      </c>
      <c r="C58">
        <f>SUMIFS(Antigua!$L:$L, Antigua!$B:$B, $A58, Antigua!$D:$D, "Out Ports") + SUMIFS(Barbados!$L:$L, Barbados!$B:$B, $A58, Barbados!$D:$D, "Out Ports") + SUMIFS(Bermuda!$L:$L, Bermuda!$B:$B, $A58, Bermuda!$D:$D, "Out Ports") + SUMIFS(Jamaica!$L:$L, Jamaica!$B:$B, $A58, Jamaica!$D:$D, "Out Ports") + SUMIFS(Mountserat!$L:$L, Mountserat!$B:$B, $A58, Mountserat!$D:$D, "Out Ports") + SUMIFS(Nevis!$L:$L, Nevis!$B:$B, $A58, Nevis!$D:$D, "Out Ports") + SUMIFS('St Kitts'!$L:$L, 'St Kitts'!$B:$B, $A58, 'St Kitts'!$D:$D, "Out Ports") + SUMIFS(WestIndiesGeneral!$L:$L, WestIndiesGeneral!$B:$B, $A58, WestIndiesGeneral!$D:$D, "Out Ports") + SUMIFS(Anguilla!$L:$L, Anguilla!$B:$B, $A58, Anguilla!$D:$D, "Out Ports") + SUMIFS(Tortola!$L:$L, Tortola!$B:$B, $A58, Tortola!$D:$D, "Out Ports")</f>
        <v>0</v>
      </c>
      <c r="D58">
        <f t="shared" si="0"/>
        <v>0</v>
      </c>
    </row>
    <row r="59" spans="1:4" x14ac:dyDescent="0.25">
      <c r="A59" t="s">
        <v>21</v>
      </c>
      <c r="B59">
        <f>SUMIFS(Antigua!$L:$L, Antigua!$B:$B, $A59, Antigua!$D:$D, "London") + SUMIFS(Barbados!$L:$L, Barbados!$B:$B, $A59, Barbados!$D:$D, "London") + SUMIFS(Bermuda!$L:$L, Bermuda!$B:$B, $A59, Bermuda!$D:$D, "London") + SUMIFS(Jamaica!$L:$L, Jamaica!$B:$B, $A59, Jamaica!$D:$D, "London") + SUMIFS(Mountserat!$L:$L, Mountserat!$B:$B, $A59, Mountserat!$D:$D, "London") + SUMIFS(Nevis!$L:$L, Nevis!$B:$B, $A59, Nevis!$D:$D, "London") + SUMIFS('St Kitts'!$L:$L, 'St Kitts'!$B:$B, $A59, 'St Kitts'!$D:$D, "London") + SUMIFS(WestIndiesGeneral!$L:$L, WestIndiesGeneral!$B:$B, $A59, WestIndiesGeneral!$D:$D, "London") + SUMIFS(Anguilla!$L:$L, Anguilla!$B:$B, $A59, Anguilla!$D:$D, "London") + SUMIFS(Tortola!$L:$L, Tortola!$B:$B, $A59, Tortola!$D:$D, "London")</f>
        <v>2.0593750000000002</v>
      </c>
      <c r="C59">
        <f>SUMIFS(Antigua!$L:$L, Antigua!$B:$B, $A59, Antigua!$D:$D, "Out Ports") + SUMIFS(Barbados!$L:$L, Barbados!$B:$B, $A59, Barbados!$D:$D, "Out Ports") + SUMIFS(Bermuda!$L:$L, Bermuda!$B:$B, $A59, Bermuda!$D:$D, "Out Ports") + SUMIFS(Jamaica!$L:$L, Jamaica!$B:$B, $A59, Jamaica!$D:$D, "Out Ports") + SUMIFS(Mountserat!$L:$L, Mountserat!$B:$B, $A59, Mountserat!$D:$D, "Out Ports") + SUMIFS(Nevis!$L:$L, Nevis!$B:$B, $A59, Nevis!$D:$D, "Out Ports") + SUMIFS('St Kitts'!$L:$L, 'St Kitts'!$B:$B, $A59, 'St Kitts'!$D:$D, "Out Ports") + SUMIFS(WestIndiesGeneral!$L:$L, WestIndiesGeneral!$B:$B, $A59, WestIndiesGeneral!$D:$D, "Out Ports") + SUMIFS(Anguilla!$L:$L, Anguilla!$B:$B, $A59, Anguilla!$D:$D, "Out Ports") + SUMIFS(Tortola!$L:$L, Tortola!$B:$B, $A59, Tortola!$D:$D, "Out Ports")</f>
        <v>0.86696428571428563</v>
      </c>
      <c r="D59">
        <f t="shared" si="0"/>
        <v>2.9263392857142856</v>
      </c>
    </row>
    <row r="60" spans="1:4" x14ac:dyDescent="0.25">
      <c r="A60" t="s">
        <v>87</v>
      </c>
      <c r="B60">
        <f>SUMIFS(Antigua!$L:$L, Antigua!$B:$B, $A60, Antigua!$D:$D, "London") + SUMIFS(Barbados!$L:$L, Barbados!$B:$B, $A60, Barbados!$D:$D, "London") + SUMIFS(Bermuda!$L:$L, Bermuda!$B:$B, $A60, Bermuda!$D:$D, "London") + SUMIFS(Jamaica!$L:$L, Jamaica!$B:$B, $A60, Jamaica!$D:$D, "London") + SUMIFS(Mountserat!$L:$L, Mountserat!$B:$B, $A60, Mountserat!$D:$D, "London") + SUMIFS(Nevis!$L:$L, Nevis!$B:$B, $A60, Nevis!$D:$D, "London") + SUMIFS('St Kitts'!$L:$L, 'St Kitts'!$B:$B, $A60, 'St Kitts'!$D:$D, "London") + SUMIFS(WestIndiesGeneral!$L:$L, WestIndiesGeneral!$B:$B, $A60, WestIndiesGeneral!$D:$D, "London") + SUMIFS(Anguilla!$L:$L, Anguilla!$B:$B, $A60, Anguilla!$D:$D, "London") + SUMIFS(Tortola!$L:$L, Tortola!$B:$B, $A60, Tortola!$D:$D, "London")</f>
        <v>0</v>
      </c>
      <c r="C60">
        <f>SUMIFS(Antigua!$L:$L, Antigua!$B:$B, $A60, Antigua!$D:$D, "Out Ports") + SUMIFS(Barbados!$L:$L, Barbados!$B:$B, $A60, Barbados!$D:$D, "Out Ports") + SUMIFS(Bermuda!$L:$L, Bermuda!$B:$B, $A60, Bermuda!$D:$D, "Out Ports") + SUMIFS(Jamaica!$L:$L, Jamaica!$B:$B, $A60, Jamaica!$D:$D, "Out Ports") + SUMIFS(Mountserat!$L:$L, Mountserat!$B:$B, $A60, Mountserat!$D:$D, "Out Ports") + SUMIFS(Nevis!$L:$L, Nevis!$B:$B, $A60, Nevis!$D:$D, "Out Ports") + SUMIFS('St Kitts'!$L:$L, 'St Kitts'!$B:$B, $A60, 'St Kitts'!$D:$D, "Out Ports") + SUMIFS(WestIndiesGeneral!$L:$L, WestIndiesGeneral!$B:$B, $A60, WestIndiesGeneral!$D:$D, "Out Ports") + SUMIFS(Anguilla!$L:$L, Anguilla!$B:$B, $A60, Anguilla!$D:$D, "Out Ports") + SUMIFS(Tortola!$L:$L, Tortola!$B:$B, $A60, Tortola!$D:$D, "Out Ports")</f>
        <v>5.0366071428571431</v>
      </c>
      <c r="D60">
        <f t="shared" si="0"/>
        <v>5.0366071428571431</v>
      </c>
    </row>
    <row r="61" spans="1:4" x14ac:dyDescent="0.25">
      <c r="A61" t="s">
        <v>22</v>
      </c>
      <c r="B61">
        <f>SUMIFS(Antigua!$L:$L, Antigua!$B:$B, $A61, Antigua!$D:$D, "London") + SUMIFS(Barbados!$L:$L, Barbados!$B:$B, $A61, Barbados!$D:$D, "London") + SUMIFS(Bermuda!$L:$L, Bermuda!$B:$B, $A61, Bermuda!$D:$D, "London") + SUMIFS(Jamaica!$L:$L, Jamaica!$B:$B, $A61, Jamaica!$D:$D, "London") + SUMIFS(Mountserat!$L:$L, Mountserat!$B:$B, $A61, Mountserat!$D:$D, "London") + SUMIFS(Nevis!$L:$L, Nevis!$B:$B, $A61, Nevis!$D:$D, "London") + SUMIFS('St Kitts'!$L:$L, 'St Kitts'!$B:$B, $A61, 'St Kitts'!$D:$D, "London") + SUMIFS(WestIndiesGeneral!$L:$L, WestIndiesGeneral!$B:$B, $A61, WestIndiesGeneral!$D:$D, "London") + SUMIFS(Anguilla!$L:$L, Anguilla!$B:$B, $A61, Anguilla!$D:$D, "London") + SUMIFS(Tortola!$L:$L, Tortola!$B:$B, $A61, Tortola!$D:$D, "London")</f>
        <v>0</v>
      </c>
      <c r="C61">
        <f>SUMIFS(Antigua!$L:$L, Antigua!$B:$B, $A61, Antigua!$D:$D, "Out Ports") + SUMIFS(Barbados!$L:$L, Barbados!$B:$B, $A61, Barbados!$D:$D, "Out Ports") + SUMIFS(Bermuda!$L:$L, Bermuda!$B:$B, $A61, Bermuda!$D:$D, "Out Ports") + SUMIFS(Jamaica!$L:$L, Jamaica!$B:$B, $A61, Jamaica!$D:$D, "Out Ports") + SUMIFS(Mountserat!$L:$L, Mountserat!$B:$B, $A61, Mountserat!$D:$D, "Out Ports") + SUMIFS(Nevis!$L:$L, Nevis!$B:$B, $A61, Nevis!$D:$D, "Out Ports") + SUMIFS('St Kitts'!$L:$L, 'St Kitts'!$B:$B, $A61, 'St Kitts'!$D:$D, "Out Ports") + SUMIFS(WestIndiesGeneral!$L:$L, WestIndiesGeneral!$B:$B, $A61, WestIndiesGeneral!$D:$D, "Out Ports") + SUMIFS(Anguilla!$L:$L, Anguilla!$B:$B, $A61, Anguilla!$D:$D, "Out Ports") + SUMIFS(Tortola!$L:$L, Tortola!$B:$B, $A61, Tortola!$D:$D, "Out Ports")</f>
        <v>0</v>
      </c>
      <c r="D61">
        <f t="shared" si="0"/>
        <v>0</v>
      </c>
    </row>
    <row r="62" spans="1:4" x14ac:dyDescent="0.25">
      <c r="A62" t="s">
        <v>59</v>
      </c>
      <c r="B62">
        <f>SUMIFS(Antigua!$L:$L, Antigua!$B:$B, $A62, Antigua!$D:$D, "London") + SUMIFS(Barbados!$L:$L, Barbados!$B:$B, $A62, Barbados!$D:$D, "London") + SUMIFS(Bermuda!$L:$L, Bermuda!$B:$B, $A62, Bermuda!$D:$D, "London") + SUMIFS(Jamaica!$L:$L, Jamaica!$B:$B, $A62, Jamaica!$D:$D, "London") + SUMIFS(Mountserat!$L:$L, Mountserat!$B:$B, $A62, Mountserat!$D:$D, "London") + SUMIFS(Nevis!$L:$L, Nevis!$B:$B, $A62, Nevis!$D:$D, "London") + SUMIFS('St Kitts'!$L:$L, 'St Kitts'!$B:$B, $A62, 'St Kitts'!$D:$D, "London") + SUMIFS(WestIndiesGeneral!$L:$L, WestIndiesGeneral!$B:$B, $A62, WestIndiesGeneral!$D:$D, "London") + SUMIFS(Anguilla!$L:$L, Anguilla!$B:$B, $A62, Anguilla!$D:$D, "London") + SUMIFS(Tortola!$L:$L, Tortola!$B:$B, $A62, Tortola!$D:$D, "London")</f>
        <v>113</v>
      </c>
      <c r="C62">
        <f>SUMIFS(Antigua!$L:$L, Antigua!$B:$B, $A62, Antigua!$D:$D, "Out Ports") + SUMIFS(Barbados!$L:$L, Barbados!$B:$B, $A62, Barbados!$D:$D, "Out Ports") + SUMIFS(Bermuda!$L:$L, Bermuda!$B:$B, $A62, Bermuda!$D:$D, "Out Ports") + SUMIFS(Jamaica!$L:$L, Jamaica!$B:$B, $A62, Jamaica!$D:$D, "Out Ports") + SUMIFS(Mountserat!$L:$L, Mountserat!$B:$B, $A62, Mountserat!$D:$D, "Out Ports") + SUMIFS(Nevis!$L:$L, Nevis!$B:$B, $A62, Nevis!$D:$D, "Out Ports") + SUMIFS('St Kitts'!$L:$L, 'St Kitts'!$B:$B, $A62, 'St Kitts'!$D:$D, "Out Ports") + SUMIFS(WestIndiesGeneral!$L:$L, WestIndiesGeneral!$B:$B, $A62, WestIndiesGeneral!$D:$D, "Out Ports") + SUMIFS(Anguilla!$L:$L, Anguilla!$B:$B, $A62, Anguilla!$D:$D, "Out Ports") + SUMIFS(Tortola!$L:$L, Tortola!$B:$B, $A62, Tortola!$D:$D, "Out Ports")</f>
        <v>56.596874999999997</v>
      </c>
      <c r="D62">
        <f t="shared" si="0"/>
        <v>169.59687500000001</v>
      </c>
    </row>
    <row r="63" spans="1:4" x14ac:dyDescent="0.25">
      <c r="A63" t="s">
        <v>94</v>
      </c>
      <c r="B63">
        <f>SUMIFS(Antigua!$L:$L, Antigua!$B:$B, $A63, Antigua!$D:$D, "London") + SUMIFS(Barbados!$L:$L, Barbados!$B:$B, $A63, Barbados!$D:$D, "London") + SUMIFS(Bermuda!$L:$L, Bermuda!$B:$B, $A63, Bermuda!$D:$D, "London") + SUMIFS(Jamaica!$L:$L, Jamaica!$B:$B, $A63, Jamaica!$D:$D, "London") + SUMIFS(Mountserat!$L:$L, Mountserat!$B:$B, $A63, Mountserat!$D:$D, "London") + SUMIFS(Nevis!$L:$L, Nevis!$B:$B, $A63, Nevis!$D:$D, "London") + SUMIFS('St Kitts'!$L:$L, 'St Kitts'!$B:$B, $A63, 'St Kitts'!$D:$D, "London") + SUMIFS(WestIndiesGeneral!$L:$L, WestIndiesGeneral!$B:$B, $A63, WestIndiesGeneral!$D:$D, "London") + SUMIFS(Anguilla!$L:$L, Anguilla!$B:$B, $A63, Anguilla!$D:$D, "London") + SUMIFS(Tortola!$L:$L, Tortola!$B:$B, $A63, Tortola!$D:$D, "London")</f>
        <v>0</v>
      </c>
      <c r="C63">
        <f>SUMIFS(Antigua!$L:$L, Antigua!$B:$B, $A63, Antigua!$D:$D, "Out Ports") + SUMIFS(Barbados!$L:$L, Barbados!$B:$B, $A63, Barbados!$D:$D, "Out Ports") + SUMIFS(Bermuda!$L:$L, Bermuda!$B:$B, $A63, Bermuda!$D:$D, "Out Ports") + SUMIFS(Jamaica!$L:$L, Jamaica!$B:$B, $A63, Jamaica!$D:$D, "Out Ports") + SUMIFS(Mountserat!$L:$L, Mountserat!$B:$B, $A63, Mountserat!$D:$D, "Out Ports") + SUMIFS(Nevis!$L:$L, Nevis!$B:$B, $A63, Nevis!$D:$D, "Out Ports") + SUMIFS('St Kitts'!$L:$L, 'St Kitts'!$B:$B, $A63, 'St Kitts'!$D:$D, "Out Ports") + SUMIFS(WestIndiesGeneral!$L:$L, WestIndiesGeneral!$B:$B, $A63, WestIndiesGeneral!$D:$D, "Out Ports") + SUMIFS(Anguilla!$L:$L, Anguilla!$B:$B, $A63, Anguilla!$D:$D, "Out Ports") + SUMIFS(Tortola!$L:$L, Tortola!$B:$B, $A63, Tortola!$D:$D, "Out Ports")</f>
        <v>0</v>
      </c>
      <c r="D63">
        <f t="shared" si="0"/>
        <v>0</v>
      </c>
    </row>
    <row r="64" spans="1:4" x14ac:dyDescent="0.25">
      <c r="A64" t="s">
        <v>95</v>
      </c>
      <c r="B64">
        <f>SUMIFS(Antigua!$L:$L, Antigua!$B:$B, $A64, Antigua!$D:$D, "London") + SUMIFS(Barbados!$L:$L, Barbados!$B:$B, $A64, Barbados!$D:$D, "London") + SUMIFS(Bermuda!$L:$L, Bermuda!$B:$B, $A64, Bermuda!$D:$D, "London") + SUMIFS(Jamaica!$L:$L, Jamaica!$B:$B, $A64, Jamaica!$D:$D, "London") + SUMIFS(Mountserat!$L:$L, Mountserat!$B:$B, $A64, Mountserat!$D:$D, "London") + SUMIFS(Nevis!$L:$L, Nevis!$B:$B, $A64, Nevis!$D:$D, "London") + SUMIFS('St Kitts'!$L:$L, 'St Kitts'!$B:$B, $A64, 'St Kitts'!$D:$D, "London") + SUMIFS(WestIndiesGeneral!$L:$L, WestIndiesGeneral!$B:$B, $A64, WestIndiesGeneral!$D:$D, "London") + SUMIFS(Anguilla!$L:$L, Anguilla!$B:$B, $A64, Anguilla!$D:$D, "London") + SUMIFS(Tortola!$L:$L, Tortola!$B:$B, $A64, Tortola!$D:$D, "London")</f>
        <v>0</v>
      </c>
      <c r="C64">
        <f>SUMIFS(Antigua!$L:$L, Antigua!$B:$B, $A64, Antigua!$D:$D, "Out Ports") + SUMIFS(Barbados!$L:$L, Barbados!$B:$B, $A64, Barbados!$D:$D, "Out Ports") + SUMIFS(Bermuda!$L:$L, Bermuda!$B:$B, $A64, Bermuda!$D:$D, "Out Ports") + SUMIFS(Jamaica!$L:$L, Jamaica!$B:$B, $A64, Jamaica!$D:$D, "Out Ports") + SUMIFS(Mountserat!$L:$L, Mountserat!$B:$B, $A64, Mountserat!$D:$D, "Out Ports") + SUMIFS(Nevis!$L:$L, Nevis!$B:$B, $A64, Nevis!$D:$D, "Out Ports") + SUMIFS('St Kitts'!$L:$L, 'St Kitts'!$B:$B, $A64, 'St Kitts'!$D:$D, "Out Ports") + SUMIFS(WestIndiesGeneral!$L:$L, WestIndiesGeneral!$B:$B, $A64, WestIndiesGeneral!$D:$D, "Out Ports") + SUMIFS(Anguilla!$L:$L, Anguilla!$B:$B, $A64, Anguilla!$D:$D, "Out Ports") + SUMIFS(Tortola!$L:$L, Tortola!$B:$B, $A64, Tortola!$D:$D, "Out Ports")</f>
        <v>0</v>
      </c>
      <c r="D64">
        <f t="shared" si="0"/>
        <v>0</v>
      </c>
    </row>
    <row r="65" spans="1:4" x14ac:dyDescent="0.25">
      <c r="A65" t="s">
        <v>84</v>
      </c>
      <c r="B65">
        <f>SUMIFS(Antigua!$L:$L, Antigua!$B:$B, $A65, Antigua!$D:$D, "London") + SUMIFS(Barbados!$L:$L, Barbados!$B:$B, $A65, Barbados!$D:$D, "London") + SUMIFS(Bermuda!$L:$L, Bermuda!$B:$B, $A65, Bermuda!$D:$D, "London") + SUMIFS(Jamaica!$L:$L, Jamaica!$B:$B, $A65, Jamaica!$D:$D, "London") + SUMIFS(Mountserat!$L:$L, Mountserat!$B:$B, $A65, Mountserat!$D:$D, "London") + SUMIFS(Nevis!$L:$L, Nevis!$B:$B, $A65, Nevis!$D:$D, "London") + SUMIFS('St Kitts'!$L:$L, 'St Kitts'!$B:$B, $A65, 'St Kitts'!$D:$D, "London") + SUMIFS(WestIndiesGeneral!$L:$L, WestIndiesGeneral!$B:$B, $A65, WestIndiesGeneral!$D:$D, "London") + SUMIFS(Anguilla!$L:$L, Anguilla!$B:$B, $A65, Anguilla!$D:$D, "London") + SUMIFS(Tortola!$L:$L, Tortola!$B:$B, $A65, Tortola!$D:$D, "London")</f>
        <v>132.5</v>
      </c>
      <c r="C65">
        <f>SUMIFS(Antigua!$L:$L, Antigua!$B:$B, $A65, Antigua!$D:$D, "Out Ports") + SUMIFS(Barbados!$L:$L, Barbados!$B:$B, $A65, Barbados!$D:$D, "Out Ports") + SUMIFS(Bermuda!$L:$L, Bermuda!$B:$B, $A65, Bermuda!$D:$D, "Out Ports") + SUMIFS(Jamaica!$L:$L, Jamaica!$B:$B, $A65, Jamaica!$D:$D, "Out Ports") + SUMIFS(Mountserat!$L:$L, Mountserat!$B:$B, $A65, Mountserat!$D:$D, "Out Ports") + SUMIFS(Nevis!$L:$L, Nevis!$B:$B, $A65, Nevis!$D:$D, "Out Ports") + SUMIFS('St Kitts'!$L:$L, 'St Kitts'!$B:$B, $A65, 'St Kitts'!$D:$D, "Out Ports") + SUMIFS(WestIndiesGeneral!$L:$L, WestIndiesGeneral!$B:$B, $A65, WestIndiesGeneral!$D:$D, "Out Ports") + SUMIFS(Anguilla!$L:$L, Anguilla!$B:$B, $A65, Anguilla!$D:$D, "Out Ports") + SUMIFS(Tortola!$L:$L, Tortola!$B:$B, $A65, Tortola!$D:$D, "Out Ports")</f>
        <v>63.088392857142864</v>
      </c>
      <c r="D65">
        <f t="shared" si="0"/>
        <v>195.58839285714288</v>
      </c>
    </row>
    <row r="66" spans="1:4" x14ac:dyDescent="0.25">
      <c r="A66" t="s">
        <v>60</v>
      </c>
      <c r="B66">
        <f>SUMIFS(Antigua!$L:$L, Antigua!$B:$B, $A66, Antigua!$D:$D, "London") + SUMIFS(Barbados!$L:$L, Barbados!$B:$B, $A66, Barbados!$D:$D, "London") + SUMIFS(Bermuda!$L:$L, Bermuda!$B:$B, $A66, Bermuda!$D:$D, "London") + SUMIFS(Jamaica!$L:$L, Jamaica!$B:$B, $A66, Jamaica!$D:$D, "London") + SUMIFS(Mountserat!$L:$L, Mountserat!$B:$B, $A66, Mountserat!$D:$D, "London") + SUMIFS(Nevis!$L:$L, Nevis!$B:$B, $A66, Nevis!$D:$D, "London") + SUMIFS('St Kitts'!$L:$L, 'St Kitts'!$B:$B, $A66, 'St Kitts'!$D:$D, "London") + SUMIFS(WestIndiesGeneral!$L:$L, WestIndiesGeneral!$B:$B, $A66, WestIndiesGeneral!$D:$D, "London") + SUMIFS(Anguilla!$L:$L, Anguilla!$B:$B, $A66, Anguilla!$D:$D, "London") + SUMIFS(Tortola!$L:$L, Tortola!$B:$B, $A66, Tortola!$D:$D, "London")</f>
        <v>1660.3397321428572</v>
      </c>
      <c r="C66">
        <f>SUMIFS(Antigua!$L:$L, Antigua!$B:$B, $A66, Antigua!$D:$D, "Out Ports") + SUMIFS(Barbados!$L:$L, Barbados!$B:$B, $A66, Barbados!$D:$D, "Out Ports") + SUMIFS(Bermuda!$L:$L, Bermuda!$B:$B, $A66, Bermuda!$D:$D, "Out Ports") + SUMIFS(Jamaica!$L:$L, Jamaica!$B:$B, $A66, Jamaica!$D:$D, "Out Ports") + SUMIFS(Mountserat!$L:$L, Mountserat!$B:$B, $A66, Mountserat!$D:$D, "Out Ports") + SUMIFS(Nevis!$L:$L, Nevis!$B:$B, $A66, Nevis!$D:$D, "Out Ports") + SUMIFS('St Kitts'!$L:$L, 'St Kitts'!$B:$B, $A66, 'St Kitts'!$D:$D, "Out Ports") + SUMIFS(WestIndiesGeneral!$L:$L, WestIndiesGeneral!$B:$B, $A66, WestIndiesGeneral!$D:$D, "Out Ports") + SUMIFS(Anguilla!$L:$L, Anguilla!$B:$B, $A66, Anguilla!$D:$D, "Out Ports") + SUMIFS(Tortola!$L:$L, Tortola!$B:$B, $A66, Tortola!$D:$D, "Out Ports")</f>
        <v>1284.9495535714286</v>
      </c>
      <c r="D66">
        <f t="shared" si="0"/>
        <v>2945.2892857142861</v>
      </c>
    </row>
    <row r="67" spans="1:4" x14ac:dyDescent="0.25">
      <c r="A67" t="s">
        <v>85</v>
      </c>
      <c r="B67">
        <f>SUMIFS(Antigua!$L:$L, Antigua!$B:$B, $A67, Antigua!$D:$D, "London") + SUMIFS(Barbados!$L:$L, Barbados!$B:$B, $A67, Barbados!$D:$D, "London") + SUMIFS(Bermuda!$L:$L, Bermuda!$B:$B, $A67, Bermuda!$D:$D, "London") + SUMIFS(Jamaica!$L:$L, Jamaica!$B:$B, $A67, Jamaica!$D:$D, "London") + SUMIFS(Mountserat!$L:$L, Mountserat!$B:$B, $A67, Mountserat!$D:$D, "London") + SUMIFS(Nevis!$L:$L, Nevis!$B:$B, $A67, Nevis!$D:$D, "London") + SUMIFS('St Kitts'!$L:$L, 'St Kitts'!$B:$B, $A67, 'St Kitts'!$D:$D, "London") + SUMIFS(WestIndiesGeneral!$L:$L, WestIndiesGeneral!$B:$B, $A67, WestIndiesGeneral!$D:$D, "London") + SUMIFS(Anguilla!$L:$L, Anguilla!$B:$B, $A67, Anguilla!$D:$D, "London") + SUMIFS(Tortola!$L:$L, Tortola!$B:$B, $A67, Tortola!$D:$D, "London")</f>
        <v>0</v>
      </c>
      <c r="C67">
        <f>SUMIFS(Antigua!$L:$L, Antigua!$B:$B, $A67, Antigua!$D:$D, "Out Ports") + SUMIFS(Barbados!$L:$L, Barbados!$B:$B, $A67, Barbados!$D:$D, "Out Ports") + SUMIFS(Bermuda!$L:$L, Bermuda!$B:$B, $A67, Bermuda!$D:$D, "Out Ports") + SUMIFS(Jamaica!$L:$L, Jamaica!$B:$B, $A67, Jamaica!$D:$D, "Out Ports") + SUMIFS(Mountserat!$L:$L, Mountserat!$B:$B, $A67, Mountserat!$D:$D, "Out Ports") + SUMIFS(Nevis!$L:$L, Nevis!$B:$B, $A67, Nevis!$D:$D, "Out Ports") + SUMIFS('St Kitts'!$L:$L, 'St Kitts'!$B:$B, $A67, 'St Kitts'!$D:$D, "Out Ports") + SUMIFS(WestIndiesGeneral!$L:$L, WestIndiesGeneral!$B:$B, $A67, WestIndiesGeneral!$D:$D, "Out Ports") + SUMIFS(Anguilla!$L:$L, Anguilla!$B:$B, $A67, Anguilla!$D:$D, "Out Ports") + SUMIFS(Tortola!$L:$L, Tortola!$B:$B, $A67, Tortola!$D:$D, "Out Ports")</f>
        <v>0</v>
      </c>
      <c r="D67">
        <f t="shared" si="0"/>
        <v>0</v>
      </c>
    </row>
    <row r="68" spans="1:4" x14ac:dyDescent="0.25">
      <c r="A68" t="s">
        <v>61</v>
      </c>
      <c r="B68">
        <f>SUMIFS(Antigua!$L:$L, Antigua!$B:$B, $A68, Antigua!$D:$D, "London") + SUMIFS(Barbados!$L:$L, Barbados!$B:$B, $A68, Barbados!$D:$D, "London") + SUMIFS(Bermuda!$L:$L, Bermuda!$B:$B, $A68, Bermuda!$D:$D, "London") + SUMIFS(Jamaica!$L:$L, Jamaica!$B:$B, $A68, Jamaica!$D:$D, "London") + SUMIFS(Mountserat!$L:$L, Mountserat!$B:$B, $A68, Mountserat!$D:$D, "London") + SUMIFS(Nevis!$L:$L, Nevis!$B:$B, $A68, Nevis!$D:$D, "London") + SUMIFS('St Kitts'!$L:$L, 'St Kitts'!$B:$B, $A68, 'St Kitts'!$D:$D, "London") + SUMIFS(WestIndiesGeneral!$L:$L, WestIndiesGeneral!$B:$B, $A68, WestIndiesGeneral!$D:$D, "London") + SUMIFS(Anguilla!$L:$L, Anguilla!$B:$B, $A68, Anguilla!$D:$D, "London") + SUMIFS(Tortola!$L:$L, Tortola!$B:$B, $A68, Tortola!$D:$D, "London")</f>
        <v>1533.54375</v>
      </c>
      <c r="C68">
        <f>SUMIFS(Antigua!$L:$L, Antigua!$B:$B, $A68, Antigua!$D:$D, "Out Ports") + SUMIFS(Barbados!$L:$L, Barbados!$B:$B, $A68, Barbados!$D:$D, "Out Ports") + SUMIFS(Bermuda!$L:$L, Bermuda!$B:$B, $A68, Bermuda!$D:$D, "Out Ports") + SUMIFS(Jamaica!$L:$L, Jamaica!$B:$B, $A68, Jamaica!$D:$D, "Out Ports") + SUMIFS(Mountserat!$L:$L, Mountserat!$B:$B, $A68, Mountserat!$D:$D, "Out Ports") + SUMIFS(Nevis!$L:$L, Nevis!$B:$B, $A68, Nevis!$D:$D, "Out Ports") + SUMIFS('St Kitts'!$L:$L, 'St Kitts'!$B:$B, $A68, 'St Kitts'!$D:$D, "Out Ports") + SUMIFS(WestIndiesGeneral!$L:$L, WestIndiesGeneral!$B:$B, $A68, WestIndiesGeneral!$D:$D, "Out Ports") + SUMIFS(Anguilla!$L:$L, Anguilla!$B:$B, $A68, Anguilla!$D:$D, "Out Ports") + SUMIFS(Tortola!$L:$L, Tortola!$B:$B, $A68, Tortola!$D:$D, "Out Ports")</f>
        <v>353.47678571428571</v>
      </c>
      <c r="D68">
        <f t="shared" si="0"/>
        <v>1887.0205357142859</v>
      </c>
    </row>
    <row r="69" spans="1:4" x14ac:dyDescent="0.25">
      <c r="A69" t="s">
        <v>86</v>
      </c>
      <c r="B69">
        <f>SUMIFS(Antigua!$L:$L, Antigua!$B:$B, $A69, Antigua!$D:$D, "London") + SUMIFS(Barbados!$L:$L, Barbados!$B:$B, $A69, Barbados!$D:$D, "London") + SUMIFS(Bermuda!$L:$L, Bermuda!$B:$B, $A69, Bermuda!$D:$D, "London") + SUMIFS(Jamaica!$L:$L, Jamaica!$B:$B, $A69, Jamaica!$D:$D, "London") + SUMIFS(Mountserat!$L:$L, Mountserat!$B:$B, $A69, Mountserat!$D:$D, "London") + SUMIFS(Nevis!$L:$L, Nevis!$B:$B, $A69, Nevis!$D:$D, "London") + SUMIFS('St Kitts'!$L:$L, 'St Kitts'!$B:$B, $A69, 'St Kitts'!$D:$D, "London") + SUMIFS(WestIndiesGeneral!$L:$L, WestIndiesGeneral!$B:$B, $A69, WestIndiesGeneral!$D:$D, "London") + SUMIFS(Anguilla!$L:$L, Anguilla!$B:$B, $A69, Anguilla!$D:$D, "London") + SUMIFS(Tortola!$L:$L, Tortola!$B:$B, $A69, Tortola!$D:$D, "London")</f>
        <v>2165.0875000000001</v>
      </c>
      <c r="C69">
        <f>SUMIFS(Antigua!$L:$L, Antigua!$B:$B, $A69, Antigua!$D:$D, "Out Ports") + SUMIFS(Barbados!$L:$L, Barbados!$B:$B, $A69, Barbados!$D:$D, "Out Ports") + SUMIFS(Bermuda!$L:$L, Bermuda!$B:$B, $A69, Bermuda!$D:$D, "Out Ports") + SUMIFS(Jamaica!$L:$L, Jamaica!$B:$B, $A69, Jamaica!$D:$D, "Out Ports") + SUMIFS(Mountserat!$L:$L, Mountserat!$B:$B, $A69, Mountserat!$D:$D, "Out Ports") + SUMIFS(Nevis!$L:$L, Nevis!$B:$B, $A69, Nevis!$D:$D, "Out Ports") + SUMIFS('St Kitts'!$L:$L, 'St Kitts'!$B:$B, $A69, 'St Kitts'!$D:$D, "Out Ports") + SUMIFS(WestIndiesGeneral!$L:$L, WestIndiesGeneral!$B:$B, $A69, WestIndiesGeneral!$D:$D, "Out Ports") + SUMIFS(Anguilla!$L:$L, Anguilla!$B:$B, $A69, Anguilla!$D:$D, "Out Ports") + SUMIFS(Tortola!$L:$L, Tortola!$B:$B, $A69, Tortola!$D:$D, "Out Ports")</f>
        <v>350.77723214285714</v>
      </c>
      <c r="D69">
        <f t="shared" si="0"/>
        <v>2515.8647321428571</v>
      </c>
    </row>
    <row r="70" spans="1:4" x14ac:dyDescent="0.25">
      <c r="A70" t="s">
        <v>68</v>
      </c>
      <c r="B70">
        <f>SUMIFS(Antigua!$L:$L, Antigua!$B:$B, $A70, Antigua!$D:$D, "London") + SUMIFS(Barbados!$L:$L, Barbados!$B:$B, $A70, Barbados!$D:$D, "London") + SUMIFS(Bermuda!$L:$L, Bermuda!$B:$B, $A70, Bermuda!$D:$D, "London") + SUMIFS(Jamaica!$L:$L, Jamaica!$B:$B, $A70, Jamaica!$D:$D, "London") + SUMIFS(Mountserat!$L:$L, Mountserat!$B:$B, $A70, Mountserat!$D:$D, "London") + SUMIFS(Nevis!$L:$L, Nevis!$B:$B, $A70, Nevis!$D:$D, "London") + SUMIFS('St Kitts'!$L:$L, 'St Kitts'!$B:$B, $A70, 'St Kitts'!$D:$D, "London") + SUMIFS(WestIndiesGeneral!$L:$L, WestIndiesGeneral!$B:$B, $A70, WestIndiesGeneral!$D:$D, "London") + SUMIFS(Anguilla!$L:$L, Anguilla!$B:$B, $A70, Anguilla!$D:$D, "London") + SUMIFS(Tortola!$L:$L, Tortola!$B:$B, $A70, Tortola!$D:$D, "London")</f>
        <v>482.12142857142857</v>
      </c>
      <c r="C70">
        <f>SUMIFS(Antigua!$L:$L, Antigua!$B:$B, $A70, Antigua!$D:$D, "Out Ports") + SUMIFS(Barbados!$L:$L, Barbados!$B:$B, $A70, Barbados!$D:$D, "Out Ports") + SUMIFS(Bermuda!$L:$L, Bermuda!$B:$B, $A70, Bermuda!$D:$D, "Out Ports") + SUMIFS(Jamaica!$L:$L, Jamaica!$B:$B, $A70, Jamaica!$D:$D, "Out Ports") + SUMIFS(Mountserat!$L:$L, Mountserat!$B:$B, $A70, Mountserat!$D:$D, "Out Ports") + SUMIFS(Nevis!$L:$L, Nevis!$B:$B, $A70, Nevis!$D:$D, "Out Ports") + SUMIFS('St Kitts'!$L:$L, 'St Kitts'!$B:$B, $A70, 'St Kitts'!$D:$D, "Out Ports") + SUMIFS(WestIndiesGeneral!$L:$L, WestIndiesGeneral!$B:$B, $A70, WestIndiesGeneral!$D:$D, "Out Ports") + SUMIFS(Anguilla!$L:$L, Anguilla!$B:$B, $A70, Anguilla!$D:$D, "Out Ports") + SUMIFS(Tortola!$L:$L, Tortola!$B:$B, $A70, Tortola!$D:$D, "Out Ports")</f>
        <v>138.91964285714286</v>
      </c>
      <c r="D70">
        <f t="shared" si="0"/>
        <v>621.0410714285714</v>
      </c>
    </row>
    <row r="71" spans="1:4" x14ac:dyDescent="0.25">
      <c r="A71" t="s">
        <v>110</v>
      </c>
      <c r="B71">
        <f>SUMIFS(Antigua!$L:$L, Antigua!$B:$B, $A71, Antigua!$D:$D, "London") + SUMIFS(Barbados!$L:$L, Barbados!$B:$B, $A71, Barbados!$D:$D, "London") + SUMIFS(Bermuda!$L:$L, Bermuda!$B:$B, $A71, Bermuda!$D:$D, "London") + SUMIFS(Jamaica!$L:$L, Jamaica!$B:$B, $A71, Jamaica!$D:$D, "London") + SUMIFS(Mountserat!$L:$L, Mountserat!$B:$B, $A71, Mountserat!$D:$D, "London") + SUMIFS(Nevis!$L:$L, Nevis!$B:$B, $A71, Nevis!$D:$D, "London") + SUMIFS('St Kitts'!$L:$L, 'St Kitts'!$B:$B, $A71, 'St Kitts'!$D:$D, "London") + SUMIFS(WestIndiesGeneral!$L:$L, WestIndiesGeneral!$B:$B, $A71, WestIndiesGeneral!$D:$D, "London") + SUMIFS(Anguilla!$L:$L, Anguilla!$B:$B, $A71, Anguilla!$D:$D, "London") + SUMIFS(Tortola!$L:$L, Tortola!$B:$B, $A71, Tortola!$D:$D, "London")</f>
        <v>4.0633928571428575</v>
      </c>
      <c r="C71">
        <f>SUMIFS(Antigua!$L:$L, Antigua!$B:$B, $A71, Antigua!$D:$D, "Out Ports") + SUMIFS(Barbados!$L:$L, Barbados!$B:$B, $A71, Barbados!$D:$D, "Out Ports") + SUMIFS(Bermuda!$L:$L, Bermuda!$B:$B, $A71, Bermuda!$D:$D, "Out Ports") + SUMIFS(Jamaica!$L:$L, Jamaica!$B:$B, $A71, Jamaica!$D:$D, "Out Ports") + SUMIFS(Mountserat!$L:$L, Mountserat!$B:$B, $A71, Mountserat!$D:$D, "Out Ports") + SUMIFS(Nevis!$L:$L, Nevis!$B:$B, $A71, Nevis!$D:$D, "Out Ports") + SUMIFS('St Kitts'!$L:$L, 'St Kitts'!$B:$B, $A71, 'St Kitts'!$D:$D, "Out Ports") + SUMIFS(WestIndiesGeneral!$L:$L, WestIndiesGeneral!$B:$B, $A71, WestIndiesGeneral!$D:$D, "Out Ports") + SUMIFS(Anguilla!$L:$L, Anguilla!$B:$B, $A71, Anguilla!$D:$D, "Out Ports") + SUMIFS(Tortola!$L:$L, Tortola!$B:$B, $A71, Tortola!$D:$D, "Out Ports")</f>
        <v>0</v>
      </c>
      <c r="D71">
        <f t="shared" si="0"/>
        <v>4.0633928571428575</v>
      </c>
    </row>
    <row r="72" spans="1:4" x14ac:dyDescent="0.25">
      <c r="A72" t="s">
        <v>62</v>
      </c>
      <c r="B72">
        <f>SUMIFS(Antigua!$L:$L, Antigua!$B:$B, $A72, Antigua!$D:$D, "London") + SUMIFS(Barbados!$L:$L, Barbados!$B:$B, $A72, Barbados!$D:$D, "London") + SUMIFS(Bermuda!$L:$L, Bermuda!$B:$B, $A72, Bermuda!$D:$D, "London") + SUMIFS(Jamaica!$L:$L, Jamaica!$B:$B, $A72, Jamaica!$D:$D, "London") + SUMIFS(Mountserat!$L:$L, Mountserat!$B:$B, $A72, Mountserat!$D:$D, "London") + SUMIFS(Nevis!$L:$L, Nevis!$B:$B, $A72, Nevis!$D:$D, "London") + SUMIFS('St Kitts'!$L:$L, 'St Kitts'!$B:$B, $A72, 'St Kitts'!$D:$D, "London") + SUMIFS(WestIndiesGeneral!$L:$L, WestIndiesGeneral!$B:$B, $A72, WestIndiesGeneral!$D:$D, "London") + SUMIFS(Anguilla!$L:$L, Anguilla!$B:$B, $A72, Anguilla!$D:$D, "London") + SUMIFS(Tortola!$L:$L, Tortola!$B:$B, $A72, Tortola!$D:$D, "London")</f>
        <v>49.309821428571425</v>
      </c>
      <c r="C72">
        <f>SUMIFS(Antigua!$L:$L, Antigua!$B:$B, $A72, Antigua!$D:$D, "Out Ports") + SUMIFS(Barbados!$L:$L, Barbados!$B:$B, $A72, Barbados!$D:$D, "Out Ports") + SUMIFS(Bermuda!$L:$L, Bermuda!$B:$B, $A72, Bermuda!$D:$D, "Out Ports") + SUMIFS(Jamaica!$L:$L, Jamaica!$B:$B, $A72, Jamaica!$D:$D, "Out Ports") + SUMIFS(Mountserat!$L:$L, Mountserat!$B:$B, $A72, Mountserat!$D:$D, "Out Ports") + SUMIFS(Nevis!$L:$L, Nevis!$B:$B, $A72, Nevis!$D:$D, "Out Ports") + SUMIFS('St Kitts'!$L:$L, 'St Kitts'!$B:$B, $A72, 'St Kitts'!$D:$D, "Out Ports") + SUMIFS(WestIndiesGeneral!$L:$L, WestIndiesGeneral!$B:$B, $A72, WestIndiesGeneral!$D:$D, "Out Ports") + SUMIFS(Anguilla!$L:$L, Anguilla!$B:$B, $A72, Anguilla!$D:$D, "Out Ports") + SUMIFS(Tortola!$L:$L, Tortola!$B:$B, $A72, Tortola!$D:$D, "Out Ports")</f>
        <v>35.842857142857142</v>
      </c>
      <c r="D72">
        <f t="shared" si="0"/>
        <v>85.152678571428567</v>
      </c>
    </row>
    <row r="73" spans="1:4" x14ac:dyDescent="0.25">
      <c r="A73" t="s">
        <v>127</v>
      </c>
      <c r="B73">
        <f>SUMIFS(Antigua!$L:$L, Antigua!$B:$B, $A73, Antigua!$D:$D, "London") + SUMIFS(Barbados!$L:$L, Barbados!$B:$B, $A73, Barbados!$D:$D, "London") + SUMIFS(Bermuda!$L:$L, Bermuda!$B:$B, $A73, Bermuda!$D:$D, "London") + SUMIFS(Jamaica!$L:$L, Jamaica!$B:$B, $A73, Jamaica!$D:$D, "London") + SUMIFS(Mountserat!$L:$L, Mountserat!$B:$B, $A73, Mountserat!$D:$D, "London") + SUMIFS(Nevis!$L:$L, Nevis!$B:$B, $A73, Nevis!$D:$D, "London") + SUMIFS('St Kitts'!$L:$L, 'St Kitts'!$B:$B, $A73, 'St Kitts'!$D:$D, "London") + SUMIFS(WestIndiesGeneral!$L:$L, WestIndiesGeneral!$B:$B, $A73, WestIndiesGeneral!$D:$D, "London") + SUMIFS(Anguilla!$L:$L, Anguilla!$B:$B, $A73, Anguilla!$D:$D, "London") + SUMIFS(Tortola!$L:$L, Tortola!$B:$B, $A73, Tortola!$D:$D, "London")</f>
        <v>1</v>
      </c>
      <c r="C73">
        <f>SUMIFS(Antigua!$L:$L, Antigua!$B:$B, $A73, Antigua!$D:$D, "Out Ports") + SUMIFS(Barbados!$L:$L, Barbados!$B:$B, $A73, Barbados!$D:$D, "Out Ports") + SUMIFS(Bermuda!$L:$L, Bermuda!$B:$B, $A73, Bermuda!$D:$D, "Out Ports") + SUMIFS(Jamaica!$L:$L, Jamaica!$B:$B, $A73, Jamaica!$D:$D, "Out Ports") + SUMIFS(Mountserat!$L:$L, Mountserat!$B:$B, $A73, Mountserat!$D:$D, "Out Ports") + SUMIFS(Nevis!$L:$L, Nevis!$B:$B, $A73, Nevis!$D:$D, "Out Ports") + SUMIFS('St Kitts'!$L:$L, 'St Kitts'!$B:$B, $A73, 'St Kitts'!$D:$D, "Out Ports") + SUMIFS(WestIndiesGeneral!$L:$L, WestIndiesGeneral!$B:$B, $A73, WestIndiesGeneral!$D:$D, "Out Ports") + SUMIFS(Anguilla!$L:$L, Anguilla!$B:$B, $A73, Anguilla!$D:$D, "Out Ports") + SUMIFS(Tortola!$L:$L, Tortola!$B:$B, $A73, Tortola!$D:$D, "Out Ports")</f>
        <v>0</v>
      </c>
      <c r="D73">
        <f t="shared" si="0"/>
        <v>1</v>
      </c>
    </row>
    <row r="74" spans="1:4" x14ac:dyDescent="0.25">
      <c r="A74" t="s">
        <v>63</v>
      </c>
      <c r="B74">
        <f>SUMIFS(Antigua!$L:$L, Antigua!$B:$B, $A74, Antigua!$D:$D, "London") + SUMIFS(Barbados!$L:$L, Barbados!$B:$B, $A74, Barbados!$D:$D, "London") + SUMIFS(Bermuda!$L:$L, Bermuda!$B:$B, $A74, Bermuda!$D:$D, "London") + SUMIFS(Jamaica!$L:$L, Jamaica!$B:$B, $A74, Jamaica!$D:$D, "London") + SUMIFS(Mountserat!$L:$L, Mountserat!$B:$B, $A74, Mountserat!$D:$D, "London") + SUMIFS(Nevis!$L:$L, Nevis!$B:$B, $A74, Nevis!$D:$D, "London") + SUMIFS('St Kitts'!$L:$L, 'St Kitts'!$B:$B, $A74, 'St Kitts'!$D:$D, "London") + SUMIFS(WestIndiesGeneral!$L:$L, WestIndiesGeneral!$B:$B, $A74, WestIndiesGeneral!$D:$D, "London") + SUMIFS(Anguilla!$L:$L, Anguilla!$B:$B, $A74, Anguilla!$D:$D, "London") + SUMIFS(Tortola!$L:$L, Tortola!$B:$B, $A74, Tortola!$D:$D, "London")</f>
        <v>0</v>
      </c>
      <c r="C74">
        <f>SUMIFS(Antigua!$L:$L, Antigua!$B:$B, $A74, Antigua!$D:$D, "Out Ports") + SUMIFS(Barbados!$L:$L, Barbados!$B:$B, $A74, Barbados!$D:$D, "Out Ports") + SUMIFS(Bermuda!$L:$L, Bermuda!$B:$B, $A74, Bermuda!$D:$D, "Out Ports") + SUMIFS(Jamaica!$L:$L, Jamaica!$B:$B, $A74, Jamaica!$D:$D, "Out Ports") + SUMIFS(Mountserat!$L:$L, Mountserat!$B:$B, $A74, Mountserat!$D:$D, "Out Ports") + SUMIFS(Nevis!$L:$L, Nevis!$B:$B, $A74, Nevis!$D:$D, "Out Ports") + SUMIFS('St Kitts'!$L:$L, 'St Kitts'!$B:$B, $A74, 'St Kitts'!$D:$D, "Out Ports") + SUMIFS(WestIndiesGeneral!$L:$L, WestIndiesGeneral!$B:$B, $A74, WestIndiesGeneral!$D:$D, "Out Ports") + SUMIFS(Anguilla!$L:$L, Anguilla!$B:$B, $A74, Anguilla!$D:$D, "Out Ports") + SUMIFS(Tortola!$L:$L, Tortola!$B:$B, $A74, Tortola!$D:$D, "Out Ports")</f>
        <v>0</v>
      </c>
      <c r="D74">
        <f t="shared" ref="D74" si="1">B74+C74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zoomScale="85" zoomScaleNormal="85" workbookViewId="0">
      <selection activeCell="F13" sqref="F13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</row>
    <row r="2" spans="1:12" x14ac:dyDescent="0.25">
      <c r="A2">
        <v>1754</v>
      </c>
      <c r="B2" t="s">
        <v>53</v>
      </c>
      <c r="C2" t="s">
        <v>73</v>
      </c>
      <c r="D2" t="s">
        <v>31</v>
      </c>
      <c r="J2">
        <f>(E2*2240)+(F2*112)+(G2*28)+H2</f>
        <v>0</v>
      </c>
      <c r="L2">
        <f>J2/2240</f>
        <v>0</v>
      </c>
    </row>
    <row r="3" spans="1:12" x14ac:dyDescent="0.25">
      <c r="A3">
        <v>1754</v>
      </c>
      <c r="B3" t="s">
        <v>55</v>
      </c>
      <c r="C3" t="s">
        <v>73</v>
      </c>
      <c r="D3" t="s">
        <v>31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1754</v>
      </c>
      <c r="B4" t="s">
        <v>34</v>
      </c>
      <c r="C4" t="s">
        <v>73</v>
      </c>
      <c r="D4" t="s">
        <v>31</v>
      </c>
      <c r="J4">
        <f t="shared" si="0"/>
        <v>0</v>
      </c>
      <c r="L4">
        <f t="shared" si="1"/>
        <v>0</v>
      </c>
    </row>
    <row r="5" spans="1:12" x14ac:dyDescent="0.25">
      <c r="A5">
        <v>1754</v>
      </c>
      <c r="B5" t="s">
        <v>4</v>
      </c>
      <c r="C5" t="s">
        <v>73</v>
      </c>
      <c r="D5" t="s">
        <v>31</v>
      </c>
      <c r="J5">
        <f t="shared" si="0"/>
        <v>0</v>
      </c>
      <c r="L5">
        <f t="shared" si="1"/>
        <v>0</v>
      </c>
    </row>
    <row r="6" spans="1:12" x14ac:dyDescent="0.25">
      <c r="A6">
        <v>1754</v>
      </c>
      <c r="B6" t="s">
        <v>56</v>
      </c>
      <c r="C6" t="s">
        <v>73</v>
      </c>
      <c r="D6" t="s">
        <v>31</v>
      </c>
      <c r="J6">
        <f t="shared" si="0"/>
        <v>0</v>
      </c>
      <c r="L6">
        <f t="shared" si="1"/>
        <v>0</v>
      </c>
    </row>
    <row r="7" spans="1:12" x14ac:dyDescent="0.25">
      <c r="A7">
        <v>1754</v>
      </c>
      <c r="B7" t="s">
        <v>67</v>
      </c>
      <c r="C7" t="s">
        <v>73</v>
      </c>
      <c r="D7" t="s">
        <v>31</v>
      </c>
      <c r="J7">
        <f t="shared" si="0"/>
        <v>0</v>
      </c>
      <c r="L7">
        <f t="shared" si="1"/>
        <v>0</v>
      </c>
    </row>
    <row r="8" spans="1:12" x14ac:dyDescent="0.25">
      <c r="A8">
        <v>1754</v>
      </c>
      <c r="B8" t="s">
        <v>41</v>
      </c>
      <c r="C8" t="s">
        <v>73</v>
      </c>
      <c r="D8" t="s">
        <v>31</v>
      </c>
      <c r="J8">
        <f t="shared" si="0"/>
        <v>0</v>
      </c>
      <c r="L8">
        <f t="shared" si="1"/>
        <v>0</v>
      </c>
    </row>
    <row r="9" spans="1:12" x14ac:dyDescent="0.25">
      <c r="A9">
        <v>1754</v>
      </c>
      <c r="B9" t="s">
        <v>74</v>
      </c>
      <c r="C9" t="s">
        <v>73</v>
      </c>
      <c r="D9" t="s">
        <v>31</v>
      </c>
      <c r="J9">
        <f t="shared" si="0"/>
        <v>0</v>
      </c>
      <c r="L9">
        <f t="shared" si="1"/>
        <v>0</v>
      </c>
    </row>
    <row r="10" spans="1:12" x14ac:dyDescent="0.25">
      <c r="A10">
        <v>1754</v>
      </c>
      <c r="B10" t="s">
        <v>5</v>
      </c>
      <c r="C10" t="s">
        <v>73</v>
      </c>
      <c r="D10" t="s">
        <v>31</v>
      </c>
      <c r="J10">
        <f t="shared" si="0"/>
        <v>0</v>
      </c>
      <c r="L10">
        <f t="shared" si="1"/>
        <v>0</v>
      </c>
    </row>
    <row r="11" spans="1:12" x14ac:dyDescent="0.25">
      <c r="A11">
        <v>1754</v>
      </c>
      <c r="B11" t="s">
        <v>57</v>
      </c>
      <c r="C11" t="s">
        <v>73</v>
      </c>
      <c r="D11" t="s">
        <v>31</v>
      </c>
      <c r="J11">
        <f t="shared" si="0"/>
        <v>0</v>
      </c>
      <c r="L11">
        <f t="shared" si="1"/>
        <v>0</v>
      </c>
    </row>
    <row r="12" spans="1:12" x14ac:dyDescent="0.25">
      <c r="A12">
        <v>1754</v>
      </c>
      <c r="B12" t="s">
        <v>6</v>
      </c>
      <c r="C12" t="s">
        <v>73</v>
      </c>
      <c r="D12" t="s">
        <v>31</v>
      </c>
      <c r="F12">
        <v>80</v>
      </c>
      <c r="J12">
        <f t="shared" si="0"/>
        <v>8960</v>
      </c>
      <c r="L12">
        <f t="shared" si="1"/>
        <v>4</v>
      </c>
    </row>
    <row r="13" spans="1:12" x14ac:dyDescent="0.25">
      <c r="A13">
        <v>1754</v>
      </c>
      <c r="B13" t="s">
        <v>58</v>
      </c>
      <c r="C13" t="s">
        <v>73</v>
      </c>
      <c r="D13" t="s">
        <v>31</v>
      </c>
      <c r="J13">
        <f t="shared" si="0"/>
        <v>0</v>
      </c>
      <c r="L13">
        <f t="shared" si="1"/>
        <v>0</v>
      </c>
    </row>
    <row r="14" spans="1:12" x14ac:dyDescent="0.25">
      <c r="A14">
        <v>1754</v>
      </c>
      <c r="B14" t="s">
        <v>36</v>
      </c>
      <c r="C14" t="s">
        <v>73</v>
      </c>
      <c r="D14" t="s">
        <v>31</v>
      </c>
      <c r="J14">
        <f t="shared" si="0"/>
        <v>0</v>
      </c>
      <c r="L14">
        <f t="shared" si="1"/>
        <v>0</v>
      </c>
    </row>
    <row r="15" spans="1:12" x14ac:dyDescent="0.25">
      <c r="A15">
        <v>1754</v>
      </c>
      <c r="B15" t="s">
        <v>35</v>
      </c>
      <c r="C15" t="s">
        <v>73</v>
      </c>
      <c r="D15" t="s">
        <v>31</v>
      </c>
      <c r="J15">
        <f t="shared" si="0"/>
        <v>0</v>
      </c>
      <c r="L15">
        <f t="shared" si="1"/>
        <v>0</v>
      </c>
    </row>
    <row r="16" spans="1:12" x14ac:dyDescent="0.25">
      <c r="A16">
        <v>1754</v>
      </c>
      <c r="B16" t="s">
        <v>8</v>
      </c>
      <c r="C16" t="s">
        <v>73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38</v>
      </c>
      <c r="C17" t="s">
        <v>73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75</v>
      </c>
      <c r="C18" t="s">
        <v>73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76</v>
      </c>
      <c r="C19" t="s">
        <v>73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>
        <v>1754</v>
      </c>
      <c r="B20" t="s">
        <v>44</v>
      </c>
      <c r="C20" t="s">
        <v>73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9</v>
      </c>
      <c r="C21" t="s">
        <v>73</v>
      </c>
      <c r="D21" t="s">
        <v>31</v>
      </c>
      <c r="H21">
        <f>20*200</f>
        <v>4000</v>
      </c>
      <c r="I21" t="s">
        <v>106</v>
      </c>
      <c r="J21">
        <f t="shared" si="0"/>
        <v>4000</v>
      </c>
      <c r="L21">
        <f t="shared" si="1"/>
        <v>1.7857142857142858</v>
      </c>
    </row>
    <row r="22" spans="1:12" x14ac:dyDescent="0.25">
      <c r="A22">
        <v>1754</v>
      </c>
      <c r="B22" t="s">
        <v>10</v>
      </c>
      <c r="C22" t="s">
        <v>73</v>
      </c>
      <c r="D22" t="s">
        <v>31</v>
      </c>
      <c r="J22">
        <f t="shared" si="0"/>
        <v>0</v>
      </c>
      <c r="L22">
        <f t="shared" si="1"/>
        <v>0</v>
      </c>
    </row>
    <row r="23" spans="1:12" x14ac:dyDescent="0.25">
      <c r="A23">
        <v>1754</v>
      </c>
      <c r="B23" t="s">
        <v>11</v>
      </c>
      <c r="C23" t="s">
        <v>73</v>
      </c>
      <c r="D23" t="s">
        <v>31</v>
      </c>
      <c r="J23">
        <f t="shared" si="0"/>
        <v>0</v>
      </c>
      <c r="L23">
        <f t="shared" si="1"/>
        <v>0</v>
      </c>
    </row>
    <row r="24" spans="1:12" x14ac:dyDescent="0.25">
      <c r="A24">
        <v>1754</v>
      </c>
      <c r="B24" t="s">
        <v>37</v>
      </c>
      <c r="C24" t="s">
        <v>73</v>
      </c>
      <c r="D24" t="s">
        <v>31</v>
      </c>
      <c r="J24">
        <f t="shared" si="0"/>
        <v>0</v>
      </c>
      <c r="L24">
        <f t="shared" si="1"/>
        <v>0</v>
      </c>
    </row>
    <row r="25" spans="1:12" x14ac:dyDescent="0.25">
      <c r="A25">
        <v>1754</v>
      </c>
      <c r="B25" t="s">
        <v>77</v>
      </c>
      <c r="C25" t="s">
        <v>73</v>
      </c>
      <c r="D25" t="s">
        <v>31</v>
      </c>
      <c r="J25">
        <f t="shared" si="0"/>
        <v>0</v>
      </c>
      <c r="L25">
        <f t="shared" si="1"/>
        <v>0</v>
      </c>
    </row>
    <row r="26" spans="1:12" x14ac:dyDescent="0.25">
      <c r="A26">
        <v>1754</v>
      </c>
      <c r="B26" t="s">
        <v>99</v>
      </c>
      <c r="C26" t="s">
        <v>73</v>
      </c>
      <c r="D26" t="s">
        <v>31</v>
      </c>
      <c r="J26">
        <f t="shared" si="0"/>
        <v>0</v>
      </c>
      <c r="L26">
        <f t="shared" si="1"/>
        <v>0</v>
      </c>
    </row>
    <row r="27" spans="1:12" x14ac:dyDescent="0.25">
      <c r="A27">
        <v>1754</v>
      </c>
      <c r="B27" t="s">
        <v>42</v>
      </c>
      <c r="C27" t="s">
        <v>73</v>
      </c>
      <c r="D27" t="s">
        <v>31</v>
      </c>
      <c r="J27">
        <f t="shared" si="0"/>
        <v>0</v>
      </c>
      <c r="L27">
        <f t="shared" si="1"/>
        <v>0</v>
      </c>
    </row>
    <row r="28" spans="1:12" x14ac:dyDescent="0.25">
      <c r="A28">
        <v>1754</v>
      </c>
      <c r="B28" t="s">
        <v>78</v>
      </c>
      <c r="C28" t="s">
        <v>73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79</v>
      </c>
      <c r="C29" t="s">
        <v>73</v>
      </c>
      <c r="D29" t="s">
        <v>31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103</v>
      </c>
      <c r="C30" t="s">
        <v>73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32</v>
      </c>
      <c r="C31" t="s">
        <v>73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13</v>
      </c>
      <c r="C32" t="s">
        <v>73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14</v>
      </c>
      <c r="C33" t="s">
        <v>73</v>
      </c>
      <c r="D33" t="s">
        <v>31</v>
      </c>
      <c r="J33">
        <f t="shared" si="0"/>
        <v>0</v>
      </c>
      <c r="L33">
        <f t="shared" si="1"/>
        <v>0</v>
      </c>
    </row>
    <row r="34" spans="1:12" x14ac:dyDescent="0.25">
      <c r="A34">
        <v>1754</v>
      </c>
      <c r="B34" t="s">
        <v>23</v>
      </c>
      <c r="C34" t="s">
        <v>73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25</v>
      </c>
      <c r="C35" t="s">
        <v>73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15</v>
      </c>
      <c r="C36" t="s">
        <v>73</v>
      </c>
      <c r="D36" t="s">
        <v>31</v>
      </c>
      <c r="J36">
        <f t="shared" si="0"/>
        <v>0</v>
      </c>
      <c r="L36">
        <f t="shared" si="1"/>
        <v>0</v>
      </c>
    </row>
    <row r="37" spans="1:12" x14ac:dyDescent="0.25">
      <c r="A37">
        <v>1754</v>
      </c>
      <c r="B37" t="s">
        <v>40</v>
      </c>
      <c r="C37" t="s">
        <v>73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80</v>
      </c>
      <c r="C38" t="s">
        <v>73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45</v>
      </c>
      <c r="C39" t="s">
        <v>73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16</v>
      </c>
      <c r="C40" t="s">
        <v>73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17</v>
      </c>
      <c r="C41" t="s">
        <v>73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18</v>
      </c>
      <c r="C42" t="s">
        <v>73</v>
      </c>
      <c r="D42" t="s">
        <v>31</v>
      </c>
      <c r="H42">
        <v>240</v>
      </c>
      <c r="I42" t="s">
        <v>105</v>
      </c>
      <c r="J42">
        <f t="shared" si="0"/>
        <v>240</v>
      </c>
      <c r="L42">
        <f t="shared" si="1"/>
        <v>0.10714285714285714</v>
      </c>
    </row>
    <row r="43" spans="1:12" x14ac:dyDescent="0.25">
      <c r="A43">
        <v>1754</v>
      </c>
      <c r="B43" t="s">
        <v>24</v>
      </c>
      <c r="C43" t="s">
        <v>73</v>
      </c>
      <c r="D43" t="s">
        <v>31</v>
      </c>
      <c r="J43">
        <f t="shared" si="0"/>
        <v>0</v>
      </c>
      <c r="L43">
        <f t="shared" si="1"/>
        <v>0</v>
      </c>
    </row>
    <row r="44" spans="1:12" x14ac:dyDescent="0.25">
      <c r="A44">
        <v>1754</v>
      </c>
      <c r="B44" t="s">
        <v>81</v>
      </c>
      <c r="C44" t="s">
        <v>73</v>
      </c>
      <c r="D44" t="s">
        <v>31</v>
      </c>
      <c r="J44">
        <f t="shared" si="0"/>
        <v>0</v>
      </c>
      <c r="L44">
        <f t="shared" si="1"/>
        <v>0</v>
      </c>
    </row>
    <row r="45" spans="1:12" x14ac:dyDescent="0.25">
      <c r="A45">
        <v>1754</v>
      </c>
      <c r="B45" t="s">
        <v>19</v>
      </c>
      <c r="C45" t="s">
        <v>73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43</v>
      </c>
      <c r="C46" t="s">
        <v>73</v>
      </c>
      <c r="D46" t="s">
        <v>31</v>
      </c>
      <c r="J46">
        <f t="shared" si="0"/>
        <v>0</v>
      </c>
      <c r="L46">
        <f t="shared" si="1"/>
        <v>0</v>
      </c>
    </row>
    <row r="47" spans="1:12" x14ac:dyDescent="0.25">
      <c r="A47">
        <v>1754</v>
      </c>
      <c r="B47" t="s">
        <v>82</v>
      </c>
      <c r="C47" t="s">
        <v>73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>
        <v>1754</v>
      </c>
      <c r="B48" t="s">
        <v>52</v>
      </c>
      <c r="C48" t="s">
        <v>73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83</v>
      </c>
      <c r="C49" t="s">
        <v>73</v>
      </c>
      <c r="D49" t="s">
        <v>31</v>
      </c>
      <c r="J49">
        <f t="shared" si="0"/>
        <v>0</v>
      </c>
      <c r="L49">
        <f t="shared" si="1"/>
        <v>0</v>
      </c>
    </row>
    <row r="50" spans="1:12" x14ac:dyDescent="0.25">
      <c r="A50">
        <v>1754</v>
      </c>
      <c r="B50" t="s">
        <v>20</v>
      </c>
      <c r="C50" t="s">
        <v>73</v>
      </c>
      <c r="D50" t="s">
        <v>31</v>
      </c>
      <c r="J50">
        <f t="shared" si="0"/>
        <v>0</v>
      </c>
      <c r="L50">
        <f t="shared" si="1"/>
        <v>0</v>
      </c>
    </row>
    <row r="51" spans="1:12" x14ac:dyDescent="0.25">
      <c r="A51">
        <v>1754</v>
      </c>
      <c r="B51" t="s">
        <v>21</v>
      </c>
      <c r="C51" t="s">
        <v>73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22</v>
      </c>
      <c r="C52" t="s">
        <v>73</v>
      </c>
      <c r="D52" t="s">
        <v>31</v>
      </c>
      <c r="J52">
        <f t="shared" si="0"/>
        <v>0</v>
      </c>
      <c r="L52">
        <f t="shared" si="1"/>
        <v>0</v>
      </c>
    </row>
    <row r="53" spans="1:12" x14ac:dyDescent="0.25">
      <c r="A53">
        <v>1754</v>
      </c>
      <c r="B53" t="s">
        <v>59</v>
      </c>
      <c r="C53" t="s">
        <v>73</v>
      </c>
      <c r="D53" t="s">
        <v>31</v>
      </c>
      <c r="J53">
        <f t="shared" si="0"/>
        <v>0</v>
      </c>
      <c r="L53">
        <f t="shared" si="1"/>
        <v>0</v>
      </c>
    </row>
    <row r="54" spans="1:12" x14ac:dyDescent="0.25">
      <c r="A54">
        <v>1754</v>
      </c>
      <c r="B54" t="s">
        <v>84</v>
      </c>
      <c r="C54" t="s">
        <v>73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60</v>
      </c>
      <c r="C55" t="s">
        <v>73</v>
      </c>
      <c r="D55" t="s">
        <v>31</v>
      </c>
      <c r="E55">
        <v>6</v>
      </c>
      <c r="J55">
        <f t="shared" si="0"/>
        <v>13440</v>
      </c>
      <c r="L55">
        <f t="shared" si="1"/>
        <v>6</v>
      </c>
    </row>
    <row r="56" spans="1:12" x14ac:dyDescent="0.25">
      <c r="A56">
        <v>1754</v>
      </c>
      <c r="B56" t="s">
        <v>85</v>
      </c>
      <c r="C56" t="s">
        <v>73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61</v>
      </c>
      <c r="C57" t="s">
        <v>73</v>
      </c>
      <c r="D57" t="s">
        <v>31</v>
      </c>
      <c r="J57">
        <f t="shared" si="0"/>
        <v>0</v>
      </c>
      <c r="L57">
        <f t="shared" si="1"/>
        <v>0</v>
      </c>
    </row>
    <row r="58" spans="1:12" x14ac:dyDescent="0.25">
      <c r="A58">
        <v>1754</v>
      </c>
      <c r="B58" t="s">
        <v>86</v>
      </c>
      <c r="C58" t="s">
        <v>73</v>
      </c>
      <c r="D58" t="s">
        <v>31</v>
      </c>
      <c r="J58">
        <f t="shared" si="0"/>
        <v>0</v>
      </c>
      <c r="L58">
        <f t="shared" si="1"/>
        <v>0</v>
      </c>
    </row>
    <row r="59" spans="1:12" x14ac:dyDescent="0.25">
      <c r="A59">
        <v>1754</v>
      </c>
      <c r="B59" t="s">
        <v>68</v>
      </c>
      <c r="C59" t="s">
        <v>73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62</v>
      </c>
      <c r="C60" t="s">
        <v>73</v>
      </c>
      <c r="D60" t="s">
        <v>31</v>
      </c>
      <c r="J60">
        <f t="shared" si="0"/>
        <v>0</v>
      </c>
      <c r="L60">
        <f t="shared" si="1"/>
        <v>0</v>
      </c>
    </row>
    <row r="61" spans="1:12" x14ac:dyDescent="0.25">
      <c r="A61">
        <v>1754</v>
      </c>
      <c r="B61" t="s">
        <v>63</v>
      </c>
      <c r="C61" t="s">
        <v>73</v>
      </c>
      <c r="D61" t="s">
        <v>31</v>
      </c>
      <c r="J61">
        <f t="shared" si="0"/>
        <v>0</v>
      </c>
      <c r="L61">
        <f t="shared" si="1"/>
        <v>0</v>
      </c>
    </row>
    <row r="62" spans="1:12" x14ac:dyDescent="0.25">
      <c r="A62">
        <v>1754</v>
      </c>
      <c r="B62" t="s">
        <v>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1754</v>
      </c>
      <c r="B64" t="s">
        <v>58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7</v>
      </c>
      <c r="C65" t="s">
        <v>73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1754</v>
      </c>
      <c r="B66" t="s">
        <v>8</v>
      </c>
      <c r="C66" t="s">
        <v>73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9</v>
      </c>
      <c r="C67" t="s">
        <v>73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1754</v>
      </c>
      <c r="B68" t="s">
        <v>10</v>
      </c>
      <c r="C68" t="s">
        <v>73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1754</v>
      </c>
      <c r="B69" t="s">
        <v>11</v>
      </c>
      <c r="C69" t="s">
        <v>73</v>
      </c>
      <c r="D69" t="s">
        <v>33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1754</v>
      </c>
      <c r="B70" t="s">
        <v>12</v>
      </c>
      <c r="C70" t="s">
        <v>73</v>
      </c>
      <c r="D70" t="s">
        <v>33</v>
      </c>
      <c r="J70">
        <f t="shared" si="2"/>
        <v>0</v>
      </c>
      <c r="L70">
        <f t="shared" si="3"/>
        <v>0</v>
      </c>
    </row>
    <row r="71" spans="1:12" x14ac:dyDescent="0.25">
      <c r="A71">
        <v>1754</v>
      </c>
      <c r="B71" t="s">
        <v>13</v>
      </c>
      <c r="C71" t="s">
        <v>73</v>
      </c>
      <c r="D71" t="s">
        <v>33</v>
      </c>
      <c r="J71">
        <f t="shared" si="2"/>
        <v>0</v>
      </c>
      <c r="L71">
        <f t="shared" si="3"/>
        <v>0</v>
      </c>
    </row>
    <row r="72" spans="1:12" x14ac:dyDescent="0.25">
      <c r="A72">
        <v>1754</v>
      </c>
      <c r="B72" t="s">
        <v>14</v>
      </c>
      <c r="C72" t="s">
        <v>73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25</v>
      </c>
      <c r="C73" t="s">
        <v>73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15</v>
      </c>
      <c r="C74" t="s">
        <v>73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>
        <v>1754</v>
      </c>
      <c r="B75" t="s">
        <v>16</v>
      </c>
      <c r="C75" t="s">
        <v>73</v>
      </c>
      <c r="D75" t="s">
        <v>33</v>
      </c>
      <c r="J75">
        <f t="shared" si="2"/>
        <v>0</v>
      </c>
      <c r="L75">
        <f t="shared" si="3"/>
        <v>0</v>
      </c>
    </row>
    <row r="76" spans="1:12" x14ac:dyDescent="0.25">
      <c r="A76">
        <v>1754</v>
      </c>
      <c r="B76" t="s">
        <v>17</v>
      </c>
      <c r="C76" t="s">
        <v>73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18</v>
      </c>
      <c r="C77" t="s">
        <v>73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19</v>
      </c>
      <c r="C78" t="s">
        <v>73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43</v>
      </c>
      <c r="C79" t="s">
        <v>73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52</v>
      </c>
      <c r="C80" t="s">
        <v>73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69</v>
      </c>
      <c r="C81" t="s">
        <v>73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21</v>
      </c>
      <c r="C82" t="s">
        <v>73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22</v>
      </c>
      <c r="C83" t="s">
        <v>73</v>
      </c>
      <c r="D83" t="s">
        <v>33</v>
      </c>
      <c r="J83">
        <f t="shared" si="2"/>
        <v>0</v>
      </c>
      <c r="L83">
        <f t="shared" si="3"/>
        <v>0</v>
      </c>
    </row>
    <row r="84" spans="1:12" x14ac:dyDescent="0.25">
      <c r="A84">
        <v>1754</v>
      </c>
      <c r="B84" t="s">
        <v>59</v>
      </c>
      <c r="C84" t="s">
        <v>73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>
        <v>1754</v>
      </c>
      <c r="B85" t="s">
        <v>60</v>
      </c>
      <c r="C85" t="s">
        <v>73</v>
      </c>
      <c r="D85" t="s">
        <v>33</v>
      </c>
      <c r="J85">
        <f t="shared" si="2"/>
        <v>0</v>
      </c>
      <c r="L85">
        <f t="shared" si="3"/>
        <v>0</v>
      </c>
    </row>
    <row r="86" spans="1:12" x14ac:dyDescent="0.25">
      <c r="A86">
        <v>1754</v>
      </c>
      <c r="B86" t="s">
        <v>61</v>
      </c>
      <c r="C86" t="s">
        <v>73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>
        <v>1754</v>
      </c>
      <c r="B87" t="s">
        <v>68</v>
      </c>
      <c r="C87" t="s">
        <v>73</v>
      </c>
      <c r="D87" t="s">
        <v>33</v>
      </c>
      <c r="J87">
        <f t="shared" si="2"/>
        <v>0</v>
      </c>
      <c r="L87">
        <f t="shared" si="3"/>
        <v>0</v>
      </c>
    </row>
    <row r="88" spans="1:12" x14ac:dyDescent="0.25">
      <c r="A88">
        <v>1754</v>
      </c>
      <c r="B88" t="s">
        <v>62</v>
      </c>
      <c r="C88" t="s">
        <v>73</v>
      </c>
      <c r="D88" t="s">
        <v>33</v>
      </c>
      <c r="J88">
        <f t="shared" si="2"/>
        <v>0</v>
      </c>
      <c r="L88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2"/>
  <sheetViews>
    <sheetView topLeftCell="A85" zoomScale="70" zoomScaleNormal="70" workbookViewId="0">
      <selection activeCell="B2" sqref="B2:B13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A2">
        <v>1754</v>
      </c>
      <c r="B2" t="s">
        <v>53</v>
      </c>
      <c r="C2" t="s">
        <v>51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A3">
        <v>1754</v>
      </c>
      <c r="B3" t="s">
        <v>55</v>
      </c>
      <c r="C3" t="s">
        <v>51</v>
      </c>
      <c r="D3" t="s">
        <v>31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1754</v>
      </c>
      <c r="B4" t="s">
        <v>34</v>
      </c>
      <c r="C4" t="s">
        <v>51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A5">
        <v>1754</v>
      </c>
      <c r="B5" t="s">
        <v>4</v>
      </c>
      <c r="C5" t="s">
        <v>51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A6">
        <v>1754</v>
      </c>
      <c r="B6" t="s">
        <v>56</v>
      </c>
      <c r="C6" t="s">
        <v>51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A7">
        <v>1754</v>
      </c>
      <c r="B7" t="s">
        <v>67</v>
      </c>
      <c r="C7" t="s">
        <v>51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A8">
        <v>1754</v>
      </c>
      <c r="B8" t="s">
        <v>104</v>
      </c>
      <c r="C8" t="s">
        <v>51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A9">
        <v>1754</v>
      </c>
      <c r="B9" t="s">
        <v>97</v>
      </c>
      <c r="C9" t="s">
        <v>51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A10">
        <v>1754</v>
      </c>
      <c r="B10" t="s">
        <v>41</v>
      </c>
      <c r="C10" t="s">
        <v>51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A11">
        <v>1754</v>
      </c>
      <c r="B11" t="s">
        <v>74</v>
      </c>
      <c r="C11" t="s">
        <v>51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A12">
        <v>1754</v>
      </c>
      <c r="B12" t="s">
        <v>5</v>
      </c>
      <c r="C12" t="s">
        <v>51</v>
      </c>
      <c r="D12" t="s">
        <v>31</v>
      </c>
      <c r="F12">
        <v>2</v>
      </c>
      <c r="G12">
        <v>1</v>
      </c>
      <c r="J12">
        <f t="shared" si="0"/>
        <v>252</v>
      </c>
      <c r="L12">
        <f t="shared" si="1"/>
        <v>0.1125</v>
      </c>
    </row>
    <row r="13" spans="1:15" x14ac:dyDescent="0.25">
      <c r="A13">
        <v>1754</v>
      </c>
      <c r="B13" t="s">
        <v>57</v>
      </c>
      <c r="C13" t="s">
        <v>51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A14">
        <v>1754</v>
      </c>
      <c r="B14" t="s">
        <v>6</v>
      </c>
      <c r="C14" t="s">
        <v>51</v>
      </c>
      <c r="D14" t="s">
        <v>31</v>
      </c>
      <c r="F14">
        <v>51365</v>
      </c>
      <c r="G14">
        <v>1</v>
      </c>
      <c r="H14">
        <v>8</v>
      </c>
      <c r="J14">
        <f t="shared" si="0"/>
        <v>5752916</v>
      </c>
      <c r="L14">
        <f t="shared" si="1"/>
        <v>2568.2660714285716</v>
      </c>
    </row>
    <row r="15" spans="1:15" x14ac:dyDescent="0.25">
      <c r="A15">
        <v>1754</v>
      </c>
      <c r="B15" t="s">
        <v>92</v>
      </c>
      <c r="C15" t="s">
        <v>51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A16">
        <v>1754</v>
      </c>
      <c r="B16" t="s">
        <v>58</v>
      </c>
      <c r="C16" t="s">
        <v>51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7</v>
      </c>
      <c r="C17" t="s">
        <v>51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35</v>
      </c>
      <c r="C18" t="s">
        <v>51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8</v>
      </c>
      <c r="C19" t="s">
        <v>51</v>
      </c>
      <c r="D19" t="s">
        <v>31</v>
      </c>
      <c r="F19">
        <v>1</v>
      </c>
      <c r="J19">
        <f t="shared" si="0"/>
        <v>112</v>
      </c>
      <c r="L19">
        <f t="shared" si="1"/>
        <v>0.05</v>
      </c>
    </row>
    <row r="20" spans="1:12" x14ac:dyDescent="0.25">
      <c r="A20">
        <v>1754</v>
      </c>
      <c r="B20" t="s">
        <v>38</v>
      </c>
      <c r="C20" t="s">
        <v>51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75</v>
      </c>
      <c r="C21" t="s">
        <v>51</v>
      </c>
      <c r="D21" t="s">
        <v>31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76</v>
      </c>
      <c r="C22" t="s">
        <v>51</v>
      </c>
      <c r="D22" t="s">
        <v>31</v>
      </c>
      <c r="J22">
        <f t="shared" si="0"/>
        <v>0</v>
      </c>
      <c r="L22">
        <f t="shared" si="1"/>
        <v>0</v>
      </c>
    </row>
    <row r="23" spans="1:12" x14ac:dyDescent="0.25">
      <c r="A23">
        <v>1754</v>
      </c>
      <c r="B23" t="s">
        <v>44</v>
      </c>
      <c r="C23" t="s">
        <v>51</v>
      </c>
      <c r="D23" t="s">
        <v>31</v>
      </c>
      <c r="H23">
        <v>944</v>
      </c>
      <c r="J23">
        <f t="shared" si="0"/>
        <v>944</v>
      </c>
      <c r="L23">
        <f t="shared" si="1"/>
        <v>0.42142857142857143</v>
      </c>
    </row>
    <row r="24" spans="1:12" x14ac:dyDescent="0.25">
      <c r="A24">
        <v>1754</v>
      </c>
      <c r="B24" t="s">
        <v>9</v>
      </c>
      <c r="C24" t="s">
        <v>51</v>
      </c>
      <c r="D24" t="s">
        <v>31</v>
      </c>
      <c r="H24">
        <f>90*200</f>
        <v>18000</v>
      </c>
      <c r="I24" t="s">
        <v>111</v>
      </c>
      <c r="J24">
        <f t="shared" si="0"/>
        <v>18000</v>
      </c>
      <c r="L24">
        <f t="shared" si="1"/>
        <v>8.0357142857142865</v>
      </c>
    </row>
    <row r="25" spans="1:12" x14ac:dyDescent="0.25">
      <c r="A25">
        <v>1754</v>
      </c>
      <c r="B25" t="s">
        <v>10</v>
      </c>
      <c r="C25" t="s">
        <v>51</v>
      </c>
      <c r="D25" t="s">
        <v>31</v>
      </c>
      <c r="F25">
        <v>259</v>
      </c>
      <c r="G25">
        <v>2</v>
      </c>
      <c r="H25">
        <v>16</v>
      </c>
      <c r="J25">
        <f t="shared" si="0"/>
        <v>29080</v>
      </c>
      <c r="L25">
        <f t="shared" si="1"/>
        <v>12.982142857142858</v>
      </c>
    </row>
    <row r="26" spans="1:12" x14ac:dyDescent="0.25">
      <c r="A26">
        <v>1754</v>
      </c>
      <c r="B26" t="s">
        <v>11</v>
      </c>
      <c r="C26" t="s">
        <v>51</v>
      </c>
      <c r="D26" t="s">
        <v>31</v>
      </c>
      <c r="F26">
        <v>43</v>
      </c>
      <c r="H26">
        <v>12</v>
      </c>
      <c r="J26">
        <f t="shared" si="0"/>
        <v>4828</v>
      </c>
      <c r="L26">
        <f t="shared" si="1"/>
        <v>2.155357142857143</v>
      </c>
    </row>
    <row r="27" spans="1:12" x14ac:dyDescent="0.25">
      <c r="A27">
        <v>1754</v>
      </c>
      <c r="B27" t="s">
        <v>37</v>
      </c>
      <c r="C27" t="s">
        <v>51</v>
      </c>
      <c r="D27" t="s">
        <v>31</v>
      </c>
      <c r="H27">
        <v>53</v>
      </c>
      <c r="J27">
        <f t="shared" si="0"/>
        <v>53</v>
      </c>
      <c r="L27">
        <f t="shared" si="1"/>
        <v>2.3660714285714285E-2</v>
      </c>
    </row>
    <row r="28" spans="1:12" x14ac:dyDescent="0.25">
      <c r="A28">
        <v>1754</v>
      </c>
      <c r="B28" t="s">
        <v>77</v>
      </c>
      <c r="C28" t="s">
        <v>51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99</v>
      </c>
      <c r="C29" t="s">
        <v>51</v>
      </c>
      <c r="D29" t="s">
        <v>31</v>
      </c>
      <c r="H29">
        <v>59</v>
      </c>
      <c r="J29">
        <f t="shared" si="0"/>
        <v>59</v>
      </c>
      <c r="L29">
        <f t="shared" si="1"/>
        <v>2.6339285714285714E-2</v>
      </c>
    </row>
    <row r="30" spans="1:12" x14ac:dyDescent="0.25">
      <c r="A30">
        <v>1754</v>
      </c>
      <c r="B30" t="s">
        <v>98</v>
      </c>
      <c r="C30" t="s">
        <v>51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42</v>
      </c>
      <c r="C31" t="s">
        <v>51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93</v>
      </c>
      <c r="C32" t="s">
        <v>51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12</v>
      </c>
      <c r="C33" t="s">
        <v>51</v>
      </c>
      <c r="D33" t="s">
        <v>31</v>
      </c>
      <c r="J33">
        <f t="shared" si="0"/>
        <v>0</v>
      </c>
      <c r="L33">
        <f t="shared" si="1"/>
        <v>0</v>
      </c>
    </row>
    <row r="34" spans="1:12" x14ac:dyDescent="0.25">
      <c r="A34">
        <v>1754</v>
      </c>
      <c r="B34" t="s">
        <v>103</v>
      </c>
      <c r="C34" t="s">
        <v>51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32</v>
      </c>
      <c r="C35" t="s">
        <v>51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13</v>
      </c>
      <c r="C36" t="s">
        <v>51</v>
      </c>
      <c r="D36" t="s">
        <v>31</v>
      </c>
      <c r="E36">
        <v>1</v>
      </c>
      <c r="J36">
        <f t="shared" si="0"/>
        <v>2240</v>
      </c>
      <c r="L36">
        <f t="shared" si="1"/>
        <v>1</v>
      </c>
    </row>
    <row r="37" spans="1:12" x14ac:dyDescent="0.25">
      <c r="A37">
        <v>1754</v>
      </c>
      <c r="B37" t="s">
        <v>14</v>
      </c>
      <c r="C37" t="s">
        <v>51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23</v>
      </c>
      <c r="C38" t="s">
        <v>51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25</v>
      </c>
      <c r="C39" t="s">
        <v>51</v>
      </c>
      <c r="D39" t="s">
        <v>31</v>
      </c>
      <c r="H39">
        <v>224417.5</v>
      </c>
      <c r="I39" t="s">
        <v>109</v>
      </c>
      <c r="J39">
        <f t="shared" si="0"/>
        <v>224417.5</v>
      </c>
      <c r="L39">
        <f t="shared" si="1"/>
        <v>100.18638392857143</v>
      </c>
    </row>
    <row r="40" spans="1:12" x14ac:dyDescent="0.25">
      <c r="A40">
        <v>1754</v>
      </c>
      <c r="B40" t="s">
        <v>15</v>
      </c>
      <c r="C40" t="s">
        <v>51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40</v>
      </c>
      <c r="C41" t="s">
        <v>51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80</v>
      </c>
      <c r="C42" t="s">
        <v>51</v>
      </c>
      <c r="D42" t="s">
        <v>31</v>
      </c>
      <c r="J42">
        <f t="shared" si="0"/>
        <v>0</v>
      </c>
      <c r="L42">
        <f t="shared" si="1"/>
        <v>0</v>
      </c>
    </row>
    <row r="43" spans="1:12" x14ac:dyDescent="0.25">
      <c r="A43">
        <v>1754</v>
      </c>
      <c r="B43" t="s">
        <v>45</v>
      </c>
      <c r="C43" t="s">
        <v>51</v>
      </c>
      <c r="D43" t="s">
        <v>31</v>
      </c>
      <c r="H43">
        <v>100</v>
      </c>
      <c r="I43" t="s">
        <v>107</v>
      </c>
      <c r="J43">
        <f t="shared" si="0"/>
        <v>100</v>
      </c>
      <c r="L43">
        <f t="shared" si="1"/>
        <v>4.4642857142857144E-2</v>
      </c>
    </row>
    <row r="44" spans="1:12" x14ac:dyDescent="0.25">
      <c r="A44">
        <v>1754</v>
      </c>
      <c r="B44" t="s">
        <v>16</v>
      </c>
      <c r="C44" t="s">
        <v>51</v>
      </c>
      <c r="D44" t="s">
        <v>31</v>
      </c>
      <c r="J44">
        <f t="shared" si="0"/>
        <v>0</v>
      </c>
      <c r="L44">
        <f t="shared" si="1"/>
        <v>0</v>
      </c>
    </row>
    <row r="45" spans="1:12" x14ac:dyDescent="0.25">
      <c r="A45">
        <v>1754</v>
      </c>
      <c r="B45" t="s">
        <v>17</v>
      </c>
      <c r="C45" t="s">
        <v>51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18</v>
      </c>
      <c r="C46" t="s">
        <v>51</v>
      </c>
      <c r="D46" t="s">
        <v>31</v>
      </c>
      <c r="H46">
        <v>521674</v>
      </c>
      <c r="I46" t="s">
        <v>108</v>
      </c>
      <c r="J46">
        <f t="shared" si="0"/>
        <v>521674</v>
      </c>
      <c r="L46">
        <f t="shared" si="1"/>
        <v>232.89017857142858</v>
      </c>
    </row>
    <row r="47" spans="1:12" x14ac:dyDescent="0.25">
      <c r="A47">
        <v>1754</v>
      </c>
      <c r="B47" t="s">
        <v>24</v>
      </c>
      <c r="C47" t="s">
        <v>51</v>
      </c>
      <c r="D47" t="s">
        <v>31</v>
      </c>
      <c r="H47">
        <v>2000</v>
      </c>
      <c r="J47">
        <f t="shared" si="0"/>
        <v>2000</v>
      </c>
      <c r="L47">
        <f t="shared" si="1"/>
        <v>0.8928571428571429</v>
      </c>
    </row>
    <row r="48" spans="1:12" x14ac:dyDescent="0.25">
      <c r="A48">
        <v>1754</v>
      </c>
      <c r="B48" t="s">
        <v>81</v>
      </c>
      <c r="C48" t="s">
        <v>51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19</v>
      </c>
      <c r="C49" t="s">
        <v>51</v>
      </c>
      <c r="D49" t="s">
        <v>31</v>
      </c>
      <c r="J49">
        <f t="shared" si="0"/>
        <v>0</v>
      </c>
      <c r="L49">
        <f t="shared" si="1"/>
        <v>0</v>
      </c>
    </row>
    <row r="50" spans="1:12" x14ac:dyDescent="0.25">
      <c r="A50">
        <v>1754</v>
      </c>
      <c r="B50" t="s">
        <v>43</v>
      </c>
      <c r="C50" t="s">
        <v>51</v>
      </c>
      <c r="D50" t="s">
        <v>31</v>
      </c>
      <c r="J50">
        <f t="shared" si="0"/>
        <v>0</v>
      </c>
      <c r="L50">
        <f t="shared" si="1"/>
        <v>0</v>
      </c>
    </row>
    <row r="51" spans="1:12" x14ac:dyDescent="0.25">
      <c r="A51">
        <v>1754</v>
      </c>
      <c r="B51" t="s">
        <v>82</v>
      </c>
      <c r="C51" t="s">
        <v>51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52</v>
      </c>
      <c r="C52" t="s">
        <v>51</v>
      </c>
      <c r="D52" t="s">
        <v>31</v>
      </c>
      <c r="H52">
        <v>261</v>
      </c>
      <c r="J52">
        <f t="shared" si="0"/>
        <v>261</v>
      </c>
      <c r="L52">
        <f t="shared" si="1"/>
        <v>0.11651785714285715</v>
      </c>
    </row>
    <row r="53" spans="1:12" x14ac:dyDescent="0.25">
      <c r="A53">
        <v>1754</v>
      </c>
      <c r="B53" t="s">
        <v>91</v>
      </c>
      <c r="C53" t="s">
        <v>51</v>
      </c>
      <c r="D53" t="s">
        <v>31</v>
      </c>
      <c r="J53">
        <f t="shared" si="0"/>
        <v>0</v>
      </c>
      <c r="L53">
        <f t="shared" si="1"/>
        <v>0</v>
      </c>
    </row>
    <row r="54" spans="1:12" x14ac:dyDescent="0.25">
      <c r="A54">
        <v>1754</v>
      </c>
      <c r="B54" t="s">
        <v>20</v>
      </c>
      <c r="C54" t="s">
        <v>51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21</v>
      </c>
      <c r="C55" t="s">
        <v>51</v>
      </c>
      <c r="D55" t="s">
        <v>31</v>
      </c>
      <c r="H55">
        <v>33</v>
      </c>
      <c r="J55">
        <f t="shared" si="0"/>
        <v>33</v>
      </c>
      <c r="L55">
        <f t="shared" si="1"/>
        <v>1.4732142857142857E-2</v>
      </c>
    </row>
    <row r="56" spans="1:12" x14ac:dyDescent="0.25">
      <c r="A56">
        <v>1754</v>
      </c>
      <c r="B56" t="s">
        <v>22</v>
      </c>
      <c r="C56" t="s">
        <v>51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59</v>
      </c>
      <c r="C57" t="s">
        <v>51</v>
      </c>
      <c r="D57" t="s">
        <v>31</v>
      </c>
      <c r="J57">
        <f t="shared" si="0"/>
        <v>0</v>
      </c>
      <c r="L57">
        <f t="shared" si="1"/>
        <v>0</v>
      </c>
    </row>
    <row r="58" spans="1:12" x14ac:dyDescent="0.25">
      <c r="A58">
        <v>1754</v>
      </c>
      <c r="B58" t="s">
        <v>95</v>
      </c>
      <c r="C58" t="s">
        <v>51</v>
      </c>
      <c r="D58" t="s">
        <v>31</v>
      </c>
      <c r="J58">
        <f t="shared" si="0"/>
        <v>0</v>
      </c>
      <c r="L58">
        <f t="shared" si="1"/>
        <v>0</v>
      </c>
    </row>
    <row r="59" spans="1:12" x14ac:dyDescent="0.25">
      <c r="A59">
        <v>1754</v>
      </c>
      <c r="B59" t="s">
        <v>84</v>
      </c>
      <c r="C59" t="s">
        <v>51</v>
      </c>
      <c r="D59" t="s">
        <v>31</v>
      </c>
      <c r="E59">
        <v>63</v>
      </c>
      <c r="J59">
        <f t="shared" si="0"/>
        <v>141120</v>
      </c>
      <c r="L59">
        <f t="shared" si="1"/>
        <v>63</v>
      </c>
    </row>
    <row r="60" spans="1:12" x14ac:dyDescent="0.25">
      <c r="A60">
        <v>1754</v>
      </c>
      <c r="B60" t="s">
        <v>60</v>
      </c>
      <c r="C60" t="s">
        <v>51</v>
      </c>
      <c r="D60" t="s">
        <v>31</v>
      </c>
      <c r="E60">
        <v>12</v>
      </c>
      <c r="F60">
        <v>5</v>
      </c>
      <c r="J60">
        <f t="shared" si="0"/>
        <v>27440</v>
      </c>
      <c r="L60">
        <f t="shared" si="1"/>
        <v>12.25</v>
      </c>
    </row>
    <row r="61" spans="1:12" x14ac:dyDescent="0.25">
      <c r="A61">
        <v>1754</v>
      </c>
      <c r="B61" t="s">
        <v>85</v>
      </c>
      <c r="C61" t="s">
        <v>51</v>
      </c>
      <c r="D61" t="s">
        <v>31</v>
      </c>
      <c r="J61">
        <f t="shared" si="0"/>
        <v>0</v>
      </c>
      <c r="L61">
        <f t="shared" si="1"/>
        <v>0</v>
      </c>
    </row>
    <row r="62" spans="1:12" x14ac:dyDescent="0.25">
      <c r="A62">
        <v>1754</v>
      </c>
      <c r="B62" t="s">
        <v>61</v>
      </c>
      <c r="C62" t="s">
        <v>51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86</v>
      </c>
      <c r="C63" t="s">
        <v>51</v>
      </c>
      <c r="D63" t="s">
        <v>31</v>
      </c>
      <c r="J63">
        <f t="shared" si="0"/>
        <v>0</v>
      </c>
      <c r="L63">
        <f t="shared" si="1"/>
        <v>0</v>
      </c>
    </row>
    <row r="64" spans="1:12" x14ac:dyDescent="0.25">
      <c r="A64">
        <v>1754</v>
      </c>
      <c r="B64" t="s">
        <v>68</v>
      </c>
      <c r="C64" t="s">
        <v>51</v>
      </c>
      <c r="D64" t="s">
        <v>31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110</v>
      </c>
      <c r="C65" t="s">
        <v>51</v>
      </c>
      <c r="D65" t="s">
        <v>31</v>
      </c>
      <c r="E65">
        <v>4</v>
      </c>
      <c r="F65">
        <v>1</v>
      </c>
      <c r="G65">
        <v>1</v>
      </c>
      <c r="H65">
        <v>2</v>
      </c>
      <c r="J65">
        <f t="shared" si="0"/>
        <v>9102</v>
      </c>
      <c r="L65">
        <f t="shared" si="1"/>
        <v>4.0633928571428575</v>
      </c>
    </row>
    <row r="66" spans="1:12" x14ac:dyDescent="0.25">
      <c r="A66">
        <v>1754</v>
      </c>
      <c r="B66" t="s">
        <v>62</v>
      </c>
      <c r="C66" t="s">
        <v>51</v>
      </c>
      <c r="D66" t="s">
        <v>31</v>
      </c>
      <c r="E66">
        <v>11</v>
      </c>
      <c r="F66">
        <v>12</v>
      </c>
      <c r="G66">
        <v>1</v>
      </c>
      <c r="H66">
        <v>13</v>
      </c>
      <c r="J66">
        <f t="shared" si="0"/>
        <v>26025</v>
      </c>
      <c r="L66">
        <f t="shared" si="1"/>
        <v>11.618303571428571</v>
      </c>
    </row>
    <row r="67" spans="1:12" x14ac:dyDescent="0.25">
      <c r="A67">
        <v>1754</v>
      </c>
      <c r="B67" t="s">
        <v>63</v>
      </c>
      <c r="C67" t="s">
        <v>51</v>
      </c>
      <c r="D67" t="s">
        <v>31</v>
      </c>
      <c r="J67">
        <f t="shared" si="0"/>
        <v>0</v>
      </c>
      <c r="L67">
        <f t="shared" si="1"/>
        <v>0</v>
      </c>
    </row>
    <row r="68" spans="1:12" x14ac:dyDescent="0.25">
      <c r="A68">
        <v>1754</v>
      </c>
      <c r="B68" t="s">
        <v>53</v>
      </c>
      <c r="C68" t="s">
        <v>51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1754</v>
      </c>
      <c r="B69" t="s">
        <v>55</v>
      </c>
      <c r="C69" t="s">
        <v>51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1754</v>
      </c>
      <c r="B70" t="s">
        <v>34</v>
      </c>
      <c r="C70" t="s">
        <v>51</v>
      </c>
      <c r="D70" t="s">
        <v>33</v>
      </c>
      <c r="J70">
        <f t="shared" si="0"/>
        <v>0</v>
      </c>
      <c r="L70">
        <f t="shared" si="1"/>
        <v>0</v>
      </c>
    </row>
    <row r="71" spans="1:12" x14ac:dyDescent="0.25">
      <c r="A71">
        <v>1754</v>
      </c>
      <c r="B71" t="s">
        <v>4</v>
      </c>
      <c r="C71" t="s">
        <v>51</v>
      </c>
      <c r="D71" t="s">
        <v>33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1754</v>
      </c>
      <c r="B72" t="s">
        <v>56</v>
      </c>
      <c r="C72" t="s">
        <v>51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67</v>
      </c>
      <c r="C73" t="s">
        <v>51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41</v>
      </c>
      <c r="C74" t="s">
        <v>51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>
        <v>1754</v>
      </c>
      <c r="B75" t="s">
        <v>74</v>
      </c>
      <c r="C75" t="s">
        <v>51</v>
      </c>
      <c r="D75" t="s">
        <v>33</v>
      </c>
      <c r="J75">
        <f t="shared" si="2"/>
        <v>0</v>
      </c>
      <c r="L75">
        <f t="shared" si="3"/>
        <v>0</v>
      </c>
    </row>
    <row r="76" spans="1:12" x14ac:dyDescent="0.25">
      <c r="A76">
        <v>1754</v>
      </c>
      <c r="B76" t="s">
        <v>5</v>
      </c>
      <c r="C76" t="s">
        <v>51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57</v>
      </c>
      <c r="C77" t="s">
        <v>51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6</v>
      </c>
      <c r="C78" t="s">
        <v>51</v>
      </c>
      <c r="D78" t="s">
        <v>33</v>
      </c>
      <c r="F78">
        <v>11810</v>
      </c>
      <c r="H78">
        <v>8</v>
      </c>
      <c r="J78">
        <f t="shared" si="2"/>
        <v>1322728</v>
      </c>
      <c r="L78">
        <f t="shared" si="3"/>
        <v>590.50357142857138</v>
      </c>
    </row>
    <row r="79" spans="1:12" x14ac:dyDescent="0.25">
      <c r="A79">
        <v>1754</v>
      </c>
      <c r="B79" t="s">
        <v>58</v>
      </c>
      <c r="C79" t="s">
        <v>51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7</v>
      </c>
      <c r="C80" t="s">
        <v>51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35</v>
      </c>
      <c r="C81" t="s">
        <v>51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8</v>
      </c>
      <c r="C82" t="s">
        <v>51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38</v>
      </c>
      <c r="C83" t="s">
        <v>51</v>
      </c>
      <c r="D83" t="s">
        <v>33</v>
      </c>
      <c r="J83">
        <f t="shared" si="2"/>
        <v>0</v>
      </c>
      <c r="L83">
        <f t="shared" si="3"/>
        <v>0</v>
      </c>
    </row>
    <row r="84" spans="1:12" x14ac:dyDescent="0.25">
      <c r="A84">
        <v>1754</v>
      </c>
      <c r="B84" t="s">
        <v>75</v>
      </c>
      <c r="C84" t="s">
        <v>51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>
        <v>1754</v>
      </c>
      <c r="B85" t="s">
        <v>76</v>
      </c>
      <c r="C85" t="s">
        <v>51</v>
      </c>
      <c r="D85" t="s">
        <v>33</v>
      </c>
      <c r="J85">
        <f t="shared" si="2"/>
        <v>0</v>
      </c>
      <c r="L85">
        <f t="shared" si="3"/>
        <v>0</v>
      </c>
    </row>
    <row r="86" spans="1:12" x14ac:dyDescent="0.25">
      <c r="A86">
        <v>1754</v>
      </c>
      <c r="B86" t="s">
        <v>44</v>
      </c>
      <c r="C86" t="s">
        <v>51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>
        <v>1754</v>
      </c>
      <c r="B87" t="s">
        <v>9</v>
      </c>
      <c r="C87" t="s">
        <v>51</v>
      </c>
      <c r="D87" t="s">
        <v>33</v>
      </c>
      <c r="H87">
        <f>260*200</f>
        <v>52000</v>
      </c>
      <c r="I87" t="s">
        <v>146</v>
      </c>
      <c r="J87">
        <f t="shared" si="2"/>
        <v>52000</v>
      </c>
      <c r="L87">
        <f t="shared" si="3"/>
        <v>23.214285714285715</v>
      </c>
    </row>
    <row r="88" spans="1:12" x14ac:dyDescent="0.25">
      <c r="A88">
        <v>1754</v>
      </c>
      <c r="B88" t="s">
        <v>10</v>
      </c>
      <c r="C88" t="s">
        <v>51</v>
      </c>
      <c r="D88" t="s">
        <v>33</v>
      </c>
      <c r="F88">
        <v>88</v>
      </c>
      <c r="G88">
        <v>3</v>
      </c>
      <c r="H88">
        <v>21</v>
      </c>
      <c r="J88">
        <f t="shared" si="2"/>
        <v>9961</v>
      </c>
      <c r="L88">
        <f t="shared" si="3"/>
        <v>4.4468750000000004</v>
      </c>
    </row>
    <row r="89" spans="1:12" x14ac:dyDescent="0.25">
      <c r="A89">
        <v>1754</v>
      </c>
      <c r="B89" t="s">
        <v>11</v>
      </c>
      <c r="C89" t="s">
        <v>51</v>
      </c>
      <c r="D89" t="s">
        <v>33</v>
      </c>
      <c r="J89">
        <f t="shared" si="2"/>
        <v>0</v>
      </c>
      <c r="L89">
        <f t="shared" si="3"/>
        <v>0</v>
      </c>
    </row>
    <row r="90" spans="1:12" x14ac:dyDescent="0.25">
      <c r="A90">
        <v>1754</v>
      </c>
      <c r="B90" t="s">
        <v>37</v>
      </c>
      <c r="C90" t="s">
        <v>51</v>
      </c>
      <c r="D90" t="s">
        <v>33</v>
      </c>
      <c r="H90">
        <v>7</v>
      </c>
      <c r="J90">
        <f t="shared" si="2"/>
        <v>7</v>
      </c>
      <c r="L90">
        <f t="shared" si="3"/>
        <v>3.1250000000000002E-3</v>
      </c>
    </row>
    <row r="91" spans="1:12" x14ac:dyDescent="0.25">
      <c r="A91">
        <v>1754</v>
      </c>
      <c r="B91" t="s">
        <v>77</v>
      </c>
      <c r="C91" t="s">
        <v>51</v>
      </c>
      <c r="D91" t="s">
        <v>33</v>
      </c>
      <c r="J91">
        <f t="shared" si="2"/>
        <v>0</v>
      </c>
      <c r="L91">
        <f t="shared" si="3"/>
        <v>0</v>
      </c>
    </row>
    <row r="92" spans="1:12" x14ac:dyDescent="0.25">
      <c r="A92">
        <v>1754</v>
      </c>
      <c r="B92" t="s">
        <v>99</v>
      </c>
      <c r="C92" t="s">
        <v>51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>
        <v>1754</v>
      </c>
      <c r="B93" t="s">
        <v>42</v>
      </c>
      <c r="C93" t="s">
        <v>51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>
        <v>1754</v>
      </c>
      <c r="B94" t="s">
        <v>93</v>
      </c>
      <c r="C94" t="s">
        <v>51</v>
      </c>
      <c r="D94" t="s">
        <v>33</v>
      </c>
      <c r="J94">
        <f t="shared" si="2"/>
        <v>0</v>
      </c>
      <c r="L94">
        <f t="shared" si="3"/>
        <v>0</v>
      </c>
    </row>
    <row r="95" spans="1:12" x14ac:dyDescent="0.25">
      <c r="A95">
        <v>1754</v>
      </c>
      <c r="B95" t="s">
        <v>12</v>
      </c>
      <c r="C95" t="s">
        <v>51</v>
      </c>
      <c r="D95" t="s">
        <v>33</v>
      </c>
      <c r="J95">
        <f t="shared" si="2"/>
        <v>0</v>
      </c>
      <c r="L95">
        <f t="shared" si="3"/>
        <v>0</v>
      </c>
    </row>
    <row r="96" spans="1:12" x14ac:dyDescent="0.25">
      <c r="A96">
        <v>1754</v>
      </c>
      <c r="B96" t="s">
        <v>103</v>
      </c>
      <c r="C96" t="s">
        <v>51</v>
      </c>
      <c r="D96" t="s">
        <v>33</v>
      </c>
      <c r="J96">
        <f t="shared" si="2"/>
        <v>0</v>
      </c>
      <c r="L96">
        <f t="shared" si="3"/>
        <v>0</v>
      </c>
    </row>
    <row r="97" spans="1:12" x14ac:dyDescent="0.25">
      <c r="A97">
        <v>1754</v>
      </c>
      <c r="B97" t="s">
        <v>32</v>
      </c>
      <c r="C97" t="s">
        <v>51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13</v>
      </c>
      <c r="C98" t="s">
        <v>51</v>
      </c>
      <c r="D98" t="s">
        <v>33</v>
      </c>
      <c r="E98">
        <v>15</v>
      </c>
      <c r="F98">
        <v>2</v>
      </c>
      <c r="G98">
        <v>2</v>
      </c>
      <c r="H98">
        <v>8</v>
      </c>
      <c r="J98">
        <f t="shared" si="2"/>
        <v>33888</v>
      </c>
      <c r="L98">
        <f t="shared" si="3"/>
        <v>15.128571428571428</v>
      </c>
    </row>
    <row r="99" spans="1:12" x14ac:dyDescent="0.25">
      <c r="A99">
        <v>1754</v>
      </c>
      <c r="B99" t="s">
        <v>14</v>
      </c>
      <c r="C99" t="s">
        <v>51</v>
      </c>
      <c r="D99" t="s">
        <v>33</v>
      </c>
      <c r="J99">
        <f t="shared" si="2"/>
        <v>0</v>
      </c>
      <c r="L99">
        <f t="shared" si="3"/>
        <v>0</v>
      </c>
    </row>
    <row r="100" spans="1:12" x14ac:dyDescent="0.25">
      <c r="A100">
        <v>1754</v>
      </c>
      <c r="B100" t="s">
        <v>23</v>
      </c>
      <c r="C100" t="s">
        <v>51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25</v>
      </c>
      <c r="C101" t="s">
        <v>51</v>
      </c>
      <c r="D101" t="s">
        <v>33</v>
      </c>
      <c r="H101">
        <v>22706</v>
      </c>
      <c r="I101" t="s">
        <v>145</v>
      </c>
      <c r="J101">
        <f t="shared" si="2"/>
        <v>22706</v>
      </c>
      <c r="L101">
        <f t="shared" si="3"/>
        <v>10.136607142857143</v>
      </c>
    </row>
    <row r="102" spans="1:12" x14ac:dyDescent="0.25">
      <c r="A102">
        <v>1754</v>
      </c>
      <c r="B102" t="s">
        <v>15</v>
      </c>
      <c r="C102" t="s">
        <v>51</v>
      </c>
      <c r="D102" t="s">
        <v>33</v>
      </c>
      <c r="J102">
        <f t="shared" si="2"/>
        <v>0</v>
      </c>
      <c r="L102">
        <f t="shared" si="3"/>
        <v>0</v>
      </c>
    </row>
    <row r="103" spans="1:12" x14ac:dyDescent="0.25">
      <c r="A103">
        <v>1754</v>
      </c>
      <c r="B103" t="s">
        <v>89</v>
      </c>
      <c r="C103" t="s">
        <v>51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40</v>
      </c>
      <c r="C104" t="s">
        <v>51</v>
      </c>
      <c r="D104" t="s">
        <v>33</v>
      </c>
      <c r="J104">
        <f t="shared" si="2"/>
        <v>0</v>
      </c>
      <c r="L104">
        <f t="shared" si="3"/>
        <v>0</v>
      </c>
    </row>
    <row r="105" spans="1:12" x14ac:dyDescent="0.25">
      <c r="A105">
        <v>1754</v>
      </c>
      <c r="B105" t="s">
        <v>80</v>
      </c>
      <c r="C105" t="s">
        <v>51</v>
      </c>
      <c r="D105" t="s">
        <v>33</v>
      </c>
      <c r="J105">
        <f t="shared" si="2"/>
        <v>0</v>
      </c>
      <c r="L105">
        <f t="shared" si="3"/>
        <v>0</v>
      </c>
    </row>
    <row r="106" spans="1:12" x14ac:dyDescent="0.25">
      <c r="A106">
        <v>1754</v>
      </c>
      <c r="B106" t="s">
        <v>45</v>
      </c>
      <c r="C106" t="s">
        <v>51</v>
      </c>
      <c r="D106" t="s">
        <v>33</v>
      </c>
      <c r="H106">
        <v>20</v>
      </c>
      <c r="I106" t="s">
        <v>143</v>
      </c>
      <c r="J106">
        <f t="shared" si="2"/>
        <v>20</v>
      </c>
      <c r="L106">
        <f t="shared" si="3"/>
        <v>8.9285714285714281E-3</v>
      </c>
    </row>
    <row r="107" spans="1:12" x14ac:dyDescent="0.25">
      <c r="A107">
        <v>1754</v>
      </c>
      <c r="B107" t="s">
        <v>16</v>
      </c>
      <c r="C107" t="s">
        <v>51</v>
      </c>
      <c r="D107" t="s">
        <v>33</v>
      </c>
      <c r="J107">
        <f t="shared" si="2"/>
        <v>0</v>
      </c>
      <c r="L107">
        <f t="shared" si="3"/>
        <v>0</v>
      </c>
    </row>
    <row r="108" spans="1:12" x14ac:dyDescent="0.25">
      <c r="A108">
        <v>1754</v>
      </c>
      <c r="B108" t="s">
        <v>17</v>
      </c>
      <c r="C108" t="s">
        <v>51</v>
      </c>
      <c r="D108" t="s">
        <v>33</v>
      </c>
      <c r="J108">
        <f t="shared" si="2"/>
        <v>0</v>
      </c>
      <c r="L108">
        <f t="shared" si="3"/>
        <v>0</v>
      </c>
    </row>
    <row r="109" spans="1:12" x14ac:dyDescent="0.25">
      <c r="A109">
        <v>1754</v>
      </c>
      <c r="B109" t="s">
        <v>18</v>
      </c>
      <c r="C109" t="s">
        <v>51</v>
      </c>
      <c r="D109" t="s">
        <v>33</v>
      </c>
      <c r="H109">
        <v>80490.5</v>
      </c>
      <c r="I109" t="s">
        <v>144</v>
      </c>
      <c r="J109">
        <f t="shared" si="2"/>
        <v>80490.5</v>
      </c>
      <c r="L109">
        <f t="shared" si="3"/>
        <v>35.933258928571426</v>
      </c>
    </row>
    <row r="110" spans="1:12" x14ac:dyDescent="0.25">
      <c r="A110">
        <v>1754</v>
      </c>
      <c r="B110" t="s">
        <v>24</v>
      </c>
      <c r="C110" t="s">
        <v>51</v>
      </c>
      <c r="D110" t="s">
        <v>33</v>
      </c>
      <c r="J110">
        <f t="shared" si="2"/>
        <v>0</v>
      </c>
      <c r="L110">
        <f t="shared" si="3"/>
        <v>0</v>
      </c>
    </row>
    <row r="111" spans="1:12" x14ac:dyDescent="0.25">
      <c r="A111">
        <v>1754</v>
      </c>
      <c r="B111" t="s">
        <v>81</v>
      </c>
      <c r="C111" t="s">
        <v>51</v>
      </c>
      <c r="D111" t="s">
        <v>33</v>
      </c>
      <c r="J111">
        <f t="shared" si="2"/>
        <v>0</v>
      </c>
      <c r="L111">
        <f t="shared" si="3"/>
        <v>0</v>
      </c>
    </row>
    <row r="112" spans="1:12" x14ac:dyDescent="0.25">
      <c r="A112">
        <v>1754</v>
      </c>
      <c r="B112" t="s">
        <v>19</v>
      </c>
      <c r="C112" t="s">
        <v>51</v>
      </c>
      <c r="D112" t="s">
        <v>33</v>
      </c>
      <c r="J112">
        <f t="shared" si="2"/>
        <v>0</v>
      </c>
      <c r="L112">
        <f t="shared" si="3"/>
        <v>0</v>
      </c>
    </row>
    <row r="113" spans="1:12" x14ac:dyDescent="0.25">
      <c r="A113">
        <v>1754</v>
      </c>
      <c r="B113" t="s">
        <v>43</v>
      </c>
      <c r="C113" t="s">
        <v>51</v>
      </c>
      <c r="D113" t="s">
        <v>33</v>
      </c>
      <c r="J113">
        <f t="shared" si="2"/>
        <v>0</v>
      </c>
      <c r="L113">
        <f t="shared" si="3"/>
        <v>0</v>
      </c>
    </row>
    <row r="114" spans="1:12" x14ac:dyDescent="0.25">
      <c r="A114">
        <v>1754</v>
      </c>
      <c r="B114" t="s">
        <v>82</v>
      </c>
      <c r="C114" t="s">
        <v>51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52</v>
      </c>
      <c r="C115" t="s">
        <v>51</v>
      </c>
      <c r="D115" t="s">
        <v>33</v>
      </c>
      <c r="H115">
        <v>43</v>
      </c>
      <c r="J115">
        <f t="shared" si="2"/>
        <v>43</v>
      </c>
      <c r="L115">
        <f t="shared" si="3"/>
        <v>1.9196428571428573E-2</v>
      </c>
    </row>
    <row r="116" spans="1:12" x14ac:dyDescent="0.25">
      <c r="A116">
        <v>1754</v>
      </c>
      <c r="B116" t="s">
        <v>91</v>
      </c>
      <c r="C116" t="s">
        <v>51</v>
      </c>
      <c r="D116" t="s">
        <v>33</v>
      </c>
      <c r="H116">
        <v>7</v>
      </c>
      <c r="J116">
        <f t="shared" si="2"/>
        <v>7</v>
      </c>
      <c r="L116">
        <f t="shared" si="3"/>
        <v>3.1250000000000002E-3</v>
      </c>
    </row>
    <row r="117" spans="1:12" x14ac:dyDescent="0.25">
      <c r="A117">
        <v>1754</v>
      </c>
      <c r="B117" t="s">
        <v>20</v>
      </c>
      <c r="C117" t="s">
        <v>51</v>
      </c>
      <c r="D117" t="s">
        <v>33</v>
      </c>
      <c r="J117">
        <f t="shared" si="2"/>
        <v>0</v>
      </c>
      <c r="L117">
        <f t="shared" si="3"/>
        <v>0</v>
      </c>
    </row>
    <row r="118" spans="1:12" x14ac:dyDescent="0.25">
      <c r="A118">
        <v>1754</v>
      </c>
      <c r="B118" t="s">
        <v>21</v>
      </c>
      <c r="C118" t="s">
        <v>51</v>
      </c>
      <c r="D118" t="s">
        <v>33</v>
      </c>
      <c r="H118">
        <v>32</v>
      </c>
      <c r="J118">
        <f t="shared" si="2"/>
        <v>32</v>
      </c>
      <c r="L118">
        <f t="shared" si="3"/>
        <v>1.4285714285714285E-2</v>
      </c>
    </row>
    <row r="119" spans="1:12" x14ac:dyDescent="0.25">
      <c r="A119">
        <v>1754</v>
      </c>
      <c r="B119" t="s">
        <v>87</v>
      </c>
      <c r="C119" t="s">
        <v>51</v>
      </c>
      <c r="D119" t="s">
        <v>33</v>
      </c>
      <c r="F119">
        <v>32</v>
      </c>
      <c r="G119">
        <v>3</v>
      </c>
      <c r="H119">
        <v>13</v>
      </c>
      <c r="J119">
        <f t="shared" si="2"/>
        <v>3681</v>
      </c>
      <c r="L119">
        <f t="shared" si="3"/>
        <v>1.6433035714285715</v>
      </c>
    </row>
    <row r="120" spans="1:12" x14ac:dyDescent="0.25">
      <c r="A120">
        <v>1754</v>
      </c>
      <c r="B120" t="s">
        <v>101</v>
      </c>
      <c r="C120" t="s">
        <v>51</v>
      </c>
      <c r="D120" t="s">
        <v>33</v>
      </c>
      <c r="J120">
        <f t="shared" si="2"/>
        <v>0</v>
      </c>
      <c r="L120">
        <f t="shared" si="3"/>
        <v>0</v>
      </c>
    </row>
    <row r="121" spans="1:12" x14ac:dyDescent="0.25">
      <c r="A121">
        <v>1754</v>
      </c>
      <c r="B121" t="s">
        <v>22</v>
      </c>
      <c r="C121" t="s">
        <v>51</v>
      </c>
      <c r="D121" t="s">
        <v>33</v>
      </c>
      <c r="J121">
        <f t="shared" si="2"/>
        <v>0</v>
      </c>
      <c r="L121">
        <f t="shared" si="3"/>
        <v>0</v>
      </c>
    </row>
    <row r="122" spans="1:12" x14ac:dyDescent="0.25">
      <c r="A122">
        <v>1754</v>
      </c>
      <c r="B122" t="s">
        <v>59</v>
      </c>
      <c r="C122" t="s">
        <v>51</v>
      </c>
      <c r="D122" t="s">
        <v>33</v>
      </c>
      <c r="J122">
        <f t="shared" si="2"/>
        <v>0</v>
      </c>
      <c r="L122">
        <f t="shared" si="3"/>
        <v>0</v>
      </c>
    </row>
    <row r="123" spans="1:12" x14ac:dyDescent="0.25">
      <c r="A123">
        <v>1754</v>
      </c>
      <c r="B123" t="s">
        <v>88</v>
      </c>
      <c r="C123" t="s">
        <v>51</v>
      </c>
      <c r="D123" t="s">
        <v>33</v>
      </c>
      <c r="J123">
        <f t="shared" si="2"/>
        <v>0</v>
      </c>
      <c r="L123">
        <f t="shared" si="3"/>
        <v>0</v>
      </c>
    </row>
    <row r="124" spans="1:12" x14ac:dyDescent="0.25">
      <c r="A124">
        <v>1754</v>
      </c>
      <c r="B124" t="s">
        <v>94</v>
      </c>
      <c r="C124" t="s">
        <v>51</v>
      </c>
      <c r="D124" t="s">
        <v>33</v>
      </c>
      <c r="J124">
        <f t="shared" si="2"/>
        <v>0</v>
      </c>
      <c r="L124">
        <f t="shared" si="3"/>
        <v>0</v>
      </c>
    </row>
    <row r="125" spans="1:12" x14ac:dyDescent="0.25">
      <c r="A125">
        <v>1754</v>
      </c>
      <c r="B125" t="s">
        <v>84</v>
      </c>
      <c r="C125" t="s">
        <v>51</v>
      </c>
      <c r="D125" t="s">
        <v>33</v>
      </c>
      <c r="J125">
        <f t="shared" si="2"/>
        <v>0</v>
      </c>
      <c r="L125">
        <f t="shared" si="3"/>
        <v>0</v>
      </c>
    </row>
    <row r="126" spans="1:12" x14ac:dyDescent="0.25">
      <c r="A126">
        <v>1754</v>
      </c>
      <c r="B126" t="s">
        <v>60</v>
      </c>
      <c r="C126" t="s">
        <v>51</v>
      </c>
      <c r="D126" t="s">
        <v>33</v>
      </c>
      <c r="E126">
        <v>39</v>
      </c>
      <c r="F126">
        <v>11</v>
      </c>
      <c r="G126">
        <v>1</v>
      </c>
      <c r="H126">
        <v>5</v>
      </c>
      <c r="J126">
        <f t="shared" si="2"/>
        <v>88625</v>
      </c>
      <c r="L126">
        <f t="shared" si="3"/>
        <v>39.564732142857146</v>
      </c>
    </row>
    <row r="127" spans="1:12" x14ac:dyDescent="0.25">
      <c r="A127">
        <v>1754</v>
      </c>
      <c r="B127" t="s">
        <v>85</v>
      </c>
      <c r="C127" t="s">
        <v>51</v>
      </c>
      <c r="D127" t="s">
        <v>33</v>
      </c>
      <c r="J127">
        <f t="shared" si="2"/>
        <v>0</v>
      </c>
      <c r="L127">
        <f t="shared" si="3"/>
        <v>0</v>
      </c>
    </row>
    <row r="128" spans="1:12" x14ac:dyDescent="0.25">
      <c r="A128">
        <v>1754</v>
      </c>
      <c r="B128" t="s">
        <v>61</v>
      </c>
      <c r="C128" t="s">
        <v>51</v>
      </c>
      <c r="D128" t="s">
        <v>33</v>
      </c>
      <c r="J128">
        <f t="shared" si="2"/>
        <v>0</v>
      </c>
      <c r="L128">
        <f t="shared" si="3"/>
        <v>0</v>
      </c>
    </row>
    <row r="129" spans="1:12" x14ac:dyDescent="0.25">
      <c r="A129">
        <v>1754</v>
      </c>
      <c r="B129" t="s">
        <v>86</v>
      </c>
      <c r="C129" t="s">
        <v>51</v>
      </c>
      <c r="D129" t="s">
        <v>33</v>
      </c>
      <c r="E129">
        <v>1</v>
      </c>
      <c r="J129">
        <f t="shared" si="2"/>
        <v>2240</v>
      </c>
      <c r="L129">
        <f t="shared" si="3"/>
        <v>1</v>
      </c>
    </row>
    <row r="130" spans="1:12" x14ac:dyDescent="0.25">
      <c r="A130">
        <v>1754</v>
      </c>
      <c r="B130" t="s">
        <v>68</v>
      </c>
      <c r="C130" t="s">
        <v>51</v>
      </c>
      <c r="D130" t="s">
        <v>33</v>
      </c>
      <c r="J130">
        <f t="shared" si="2"/>
        <v>0</v>
      </c>
      <c r="L130">
        <f t="shared" si="3"/>
        <v>0</v>
      </c>
    </row>
    <row r="131" spans="1:12" x14ac:dyDescent="0.25">
      <c r="A131">
        <v>1754</v>
      </c>
      <c r="B131" t="s">
        <v>62</v>
      </c>
      <c r="C131" t="s">
        <v>51</v>
      </c>
      <c r="D131" t="s">
        <v>33</v>
      </c>
      <c r="J131">
        <f t="shared" si="2"/>
        <v>0</v>
      </c>
      <c r="L131">
        <f t="shared" si="3"/>
        <v>0</v>
      </c>
    </row>
    <row r="132" spans="1:12" x14ac:dyDescent="0.25">
      <c r="A132">
        <v>1754</v>
      </c>
      <c r="B132" t="s">
        <v>63</v>
      </c>
      <c r="C132" t="s">
        <v>51</v>
      </c>
      <c r="D132" t="s">
        <v>33</v>
      </c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8"/>
  <sheetViews>
    <sheetView zoomScale="85" zoomScaleNormal="85" workbookViewId="0">
      <selection activeCell="B1" sqref="B1:B104857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</row>
    <row r="2" spans="1:12" x14ac:dyDescent="0.25">
      <c r="A2" s="2">
        <v>1754</v>
      </c>
      <c r="B2" t="s">
        <v>53</v>
      </c>
      <c r="C2" t="s">
        <v>54</v>
      </c>
      <c r="D2" t="s">
        <v>31</v>
      </c>
      <c r="J2">
        <f t="shared" ref="J2:J72" si="0">(E2*2240)+(F2*112)+(G2*28)+H2</f>
        <v>0</v>
      </c>
      <c r="L2">
        <f t="shared" ref="L2:L72" si="1">J2/2240</f>
        <v>0</v>
      </c>
    </row>
    <row r="3" spans="1:12" x14ac:dyDescent="0.25">
      <c r="A3" s="2">
        <v>1754</v>
      </c>
      <c r="B3" t="s">
        <v>55</v>
      </c>
      <c r="C3" t="s">
        <v>54</v>
      </c>
      <c r="D3" t="s">
        <v>31</v>
      </c>
      <c r="J3">
        <f t="shared" si="0"/>
        <v>0</v>
      </c>
      <c r="L3">
        <f t="shared" si="1"/>
        <v>0</v>
      </c>
    </row>
    <row r="4" spans="1:12" x14ac:dyDescent="0.25">
      <c r="A4" s="2">
        <v>1754</v>
      </c>
      <c r="B4" t="s">
        <v>34</v>
      </c>
      <c r="C4" t="s">
        <v>54</v>
      </c>
      <c r="D4" t="s">
        <v>31</v>
      </c>
      <c r="H4">
        <v>16368</v>
      </c>
      <c r="J4">
        <f t="shared" si="0"/>
        <v>16368</v>
      </c>
      <c r="L4">
        <f t="shared" si="1"/>
        <v>7.3071428571428569</v>
      </c>
    </row>
    <row r="5" spans="1:12" x14ac:dyDescent="0.25">
      <c r="A5" s="2">
        <v>1754</v>
      </c>
      <c r="B5" t="s">
        <v>4</v>
      </c>
      <c r="C5" t="s">
        <v>54</v>
      </c>
      <c r="D5" t="s">
        <v>31</v>
      </c>
      <c r="J5">
        <f t="shared" si="0"/>
        <v>0</v>
      </c>
      <c r="L5">
        <f t="shared" si="1"/>
        <v>0</v>
      </c>
    </row>
    <row r="6" spans="1:12" x14ac:dyDescent="0.25">
      <c r="A6" s="2">
        <v>1754</v>
      </c>
      <c r="B6" t="s">
        <v>56</v>
      </c>
      <c r="C6" t="s">
        <v>54</v>
      </c>
      <c r="D6" t="s">
        <v>31</v>
      </c>
      <c r="J6">
        <f t="shared" si="0"/>
        <v>0</v>
      </c>
      <c r="L6">
        <f t="shared" si="1"/>
        <v>0</v>
      </c>
    </row>
    <row r="7" spans="1:12" x14ac:dyDescent="0.25">
      <c r="A7" s="2">
        <v>1754</v>
      </c>
      <c r="B7" t="s">
        <v>112</v>
      </c>
      <c r="C7" t="s">
        <v>54</v>
      </c>
      <c r="D7" t="s">
        <v>31</v>
      </c>
      <c r="E7">
        <v>3</v>
      </c>
      <c r="J7">
        <f t="shared" si="0"/>
        <v>6720</v>
      </c>
      <c r="L7">
        <f t="shared" si="1"/>
        <v>3</v>
      </c>
    </row>
    <row r="8" spans="1:12" x14ac:dyDescent="0.25">
      <c r="A8" s="2">
        <v>1754</v>
      </c>
      <c r="B8" t="s">
        <v>166</v>
      </c>
      <c r="C8" t="s">
        <v>54</v>
      </c>
      <c r="D8" t="s">
        <v>31</v>
      </c>
      <c r="H8">
        <v>3334</v>
      </c>
      <c r="J8">
        <f t="shared" si="0"/>
        <v>3334</v>
      </c>
      <c r="L8">
        <f t="shared" si="1"/>
        <v>1.4883928571428571</v>
      </c>
    </row>
    <row r="9" spans="1:12" x14ac:dyDescent="0.25">
      <c r="A9" s="2">
        <v>1754</v>
      </c>
      <c r="B9" t="s">
        <v>41</v>
      </c>
      <c r="C9" t="s">
        <v>54</v>
      </c>
      <c r="D9" t="s">
        <v>31</v>
      </c>
      <c r="J9">
        <f t="shared" si="0"/>
        <v>0</v>
      </c>
      <c r="L9">
        <f t="shared" si="1"/>
        <v>0</v>
      </c>
    </row>
    <row r="10" spans="1:12" x14ac:dyDescent="0.25">
      <c r="A10" s="2">
        <v>1754</v>
      </c>
      <c r="B10" t="s">
        <v>5</v>
      </c>
      <c r="C10" t="s">
        <v>54</v>
      </c>
      <c r="D10" t="s">
        <v>31</v>
      </c>
      <c r="F10">
        <v>30</v>
      </c>
      <c r="H10">
        <v>14</v>
      </c>
      <c r="J10">
        <f t="shared" si="0"/>
        <v>3374</v>
      </c>
      <c r="L10">
        <f t="shared" si="1"/>
        <v>1.5062500000000001</v>
      </c>
    </row>
    <row r="11" spans="1:12" x14ac:dyDescent="0.25">
      <c r="A11" s="2">
        <v>1754</v>
      </c>
      <c r="B11" t="s">
        <v>57</v>
      </c>
      <c r="C11" t="s">
        <v>54</v>
      </c>
      <c r="D11" t="s">
        <v>31</v>
      </c>
      <c r="J11">
        <f t="shared" si="0"/>
        <v>0</v>
      </c>
      <c r="L11">
        <f t="shared" si="1"/>
        <v>0</v>
      </c>
    </row>
    <row r="12" spans="1:12" x14ac:dyDescent="0.25">
      <c r="A12" s="2">
        <v>1754</v>
      </c>
      <c r="B12" t="s">
        <v>6</v>
      </c>
      <c r="C12" t="s">
        <v>54</v>
      </c>
      <c r="D12" t="s">
        <v>31</v>
      </c>
      <c r="F12">
        <v>79864</v>
      </c>
      <c r="G12">
        <v>1</v>
      </c>
      <c r="H12">
        <v>24</v>
      </c>
      <c r="J12">
        <f t="shared" si="0"/>
        <v>8944820</v>
      </c>
      <c r="L12">
        <f t="shared" si="1"/>
        <v>3993.2232142857142</v>
      </c>
    </row>
    <row r="13" spans="1:12" x14ac:dyDescent="0.25">
      <c r="A13" s="2">
        <v>1754</v>
      </c>
      <c r="B13" t="s">
        <v>58</v>
      </c>
      <c r="C13" t="s">
        <v>54</v>
      </c>
      <c r="D13" t="s">
        <v>31</v>
      </c>
      <c r="H13">
        <v>1117</v>
      </c>
      <c r="J13">
        <f t="shared" si="0"/>
        <v>1117</v>
      </c>
      <c r="L13">
        <f t="shared" si="1"/>
        <v>0.49866071428571429</v>
      </c>
    </row>
    <row r="14" spans="1:12" x14ac:dyDescent="0.25">
      <c r="A14" s="2">
        <v>1754</v>
      </c>
      <c r="B14" t="s">
        <v>7</v>
      </c>
      <c r="C14" t="s">
        <v>54</v>
      </c>
      <c r="D14" t="s">
        <v>31</v>
      </c>
      <c r="J14">
        <f t="shared" si="0"/>
        <v>0</v>
      </c>
      <c r="L14">
        <f t="shared" si="1"/>
        <v>0</v>
      </c>
    </row>
    <row r="15" spans="1:12" x14ac:dyDescent="0.25">
      <c r="A15" s="2">
        <v>1754</v>
      </c>
      <c r="B15" t="s">
        <v>35</v>
      </c>
      <c r="C15" t="s">
        <v>54</v>
      </c>
      <c r="D15" t="s">
        <v>31</v>
      </c>
      <c r="J15">
        <f t="shared" si="0"/>
        <v>0</v>
      </c>
      <c r="L15">
        <f t="shared" si="1"/>
        <v>0</v>
      </c>
    </row>
    <row r="16" spans="1:12" x14ac:dyDescent="0.25">
      <c r="A16" s="2">
        <v>1754</v>
      </c>
      <c r="B16" t="s">
        <v>8</v>
      </c>
      <c r="C16" t="s">
        <v>54</v>
      </c>
      <c r="D16" t="s">
        <v>31</v>
      </c>
      <c r="F16">
        <v>90</v>
      </c>
      <c r="H16">
        <v>8</v>
      </c>
      <c r="J16">
        <f t="shared" si="0"/>
        <v>10088</v>
      </c>
      <c r="L16">
        <f t="shared" si="1"/>
        <v>4.503571428571429</v>
      </c>
    </row>
    <row r="17" spans="1:12" x14ac:dyDescent="0.25">
      <c r="A17" s="2">
        <v>1754</v>
      </c>
      <c r="B17" t="s">
        <v>38</v>
      </c>
      <c r="C17" t="s">
        <v>54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 s="2">
        <v>1754</v>
      </c>
      <c r="B18" t="s">
        <v>113</v>
      </c>
      <c r="C18" t="s">
        <v>54</v>
      </c>
      <c r="D18" t="s">
        <v>31</v>
      </c>
      <c r="H18">
        <v>20</v>
      </c>
      <c r="J18">
        <f t="shared" si="0"/>
        <v>20</v>
      </c>
      <c r="L18">
        <f t="shared" si="1"/>
        <v>8.9285714285714281E-3</v>
      </c>
    </row>
    <row r="19" spans="1:12" x14ac:dyDescent="0.25">
      <c r="A19" s="2">
        <v>1754</v>
      </c>
      <c r="B19" t="s">
        <v>76</v>
      </c>
      <c r="C19" t="s">
        <v>54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 s="2">
        <v>1754</v>
      </c>
      <c r="B20" t="s">
        <v>9</v>
      </c>
      <c r="C20" t="s">
        <v>54</v>
      </c>
      <c r="D20" t="s">
        <v>31</v>
      </c>
      <c r="H20">
        <f>1196.5*200</f>
        <v>239300</v>
      </c>
      <c r="I20" t="s">
        <v>118</v>
      </c>
      <c r="J20">
        <f t="shared" si="0"/>
        <v>239300</v>
      </c>
      <c r="L20">
        <f t="shared" si="1"/>
        <v>106.83035714285714</v>
      </c>
    </row>
    <row r="21" spans="1:12" x14ac:dyDescent="0.25">
      <c r="A21" s="2">
        <v>1754</v>
      </c>
      <c r="B21" t="s">
        <v>10</v>
      </c>
      <c r="C21" t="s">
        <v>54</v>
      </c>
      <c r="D21" t="s">
        <v>31</v>
      </c>
      <c r="F21">
        <v>3574</v>
      </c>
      <c r="G21">
        <v>2</v>
      </c>
      <c r="H21">
        <v>10</v>
      </c>
      <c r="J21">
        <f t="shared" si="0"/>
        <v>400354</v>
      </c>
      <c r="L21">
        <f t="shared" si="1"/>
        <v>178.72946428571427</v>
      </c>
    </row>
    <row r="22" spans="1:12" x14ac:dyDescent="0.25">
      <c r="A22" s="2">
        <v>1754</v>
      </c>
      <c r="B22" t="s">
        <v>11</v>
      </c>
      <c r="C22" t="s">
        <v>54</v>
      </c>
      <c r="D22" t="s">
        <v>31</v>
      </c>
      <c r="F22">
        <v>42</v>
      </c>
      <c r="G22">
        <v>3</v>
      </c>
      <c r="J22">
        <f t="shared" si="0"/>
        <v>4788</v>
      </c>
      <c r="L22">
        <f t="shared" si="1"/>
        <v>2.1375000000000002</v>
      </c>
    </row>
    <row r="23" spans="1:12" x14ac:dyDescent="0.25">
      <c r="A23" s="2">
        <v>1754</v>
      </c>
      <c r="B23" t="s">
        <v>37</v>
      </c>
      <c r="C23" t="s">
        <v>54</v>
      </c>
      <c r="D23" t="s">
        <v>31</v>
      </c>
      <c r="H23">
        <v>664</v>
      </c>
      <c r="J23">
        <f t="shared" si="0"/>
        <v>664</v>
      </c>
      <c r="L23">
        <f t="shared" si="1"/>
        <v>0.29642857142857143</v>
      </c>
    </row>
    <row r="24" spans="1:12" x14ac:dyDescent="0.25">
      <c r="A24" s="2">
        <v>1754</v>
      </c>
      <c r="B24" t="s">
        <v>77</v>
      </c>
      <c r="C24" t="s">
        <v>54</v>
      </c>
      <c r="D24" t="s">
        <v>31</v>
      </c>
      <c r="H24">
        <v>1427</v>
      </c>
      <c r="J24">
        <f t="shared" si="0"/>
        <v>1427</v>
      </c>
      <c r="L24">
        <f t="shared" si="1"/>
        <v>0.63705357142857144</v>
      </c>
    </row>
    <row r="25" spans="1:12" x14ac:dyDescent="0.25">
      <c r="A25" s="2">
        <v>1754</v>
      </c>
      <c r="B25" t="s">
        <v>98</v>
      </c>
      <c r="C25" t="s">
        <v>54</v>
      </c>
      <c r="D25" t="s">
        <v>31</v>
      </c>
      <c r="J25">
        <f t="shared" si="0"/>
        <v>0</v>
      </c>
      <c r="L25">
        <f t="shared" si="1"/>
        <v>0</v>
      </c>
    </row>
    <row r="26" spans="1:12" x14ac:dyDescent="0.25">
      <c r="A26" s="2">
        <v>1754</v>
      </c>
      <c r="B26" t="s">
        <v>42</v>
      </c>
      <c r="C26" t="s">
        <v>54</v>
      </c>
      <c r="D26" t="s">
        <v>31</v>
      </c>
      <c r="J26">
        <f t="shared" si="0"/>
        <v>0</v>
      </c>
      <c r="L26">
        <f t="shared" si="1"/>
        <v>0</v>
      </c>
    </row>
    <row r="27" spans="1:12" x14ac:dyDescent="0.25">
      <c r="A27" s="2">
        <v>1754</v>
      </c>
      <c r="B27" t="s">
        <v>12</v>
      </c>
      <c r="C27" t="s">
        <v>54</v>
      </c>
      <c r="D27" t="s">
        <v>31</v>
      </c>
      <c r="H27">
        <v>500</v>
      </c>
      <c r="J27">
        <f t="shared" si="0"/>
        <v>500</v>
      </c>
      <c r="L27">
        <f t="shared" si="1"/>
        <v>0.22321428571428573</v>
      </c>
    </row>
    <row r="28" spans="1:12" x14ac:dyDescent="0.25">
      <c r="A28" s="2">
        <v>1754</v>
      </c>
      <c r="B28" t="s">
        <v>32</v>
      </c>
      <c r="C28" t="s">
        <v>54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 s="2">
        <v>1754</v>
      </c>
      <c r="B29" t="s">
        <v>13</v>
      </c>
      <c r="C29" t="s">
        <v>54</v>
      </c>
      <c r="D29" t="s">
        <v>31</v>
      </c>
      <c r="E29">
        <v>21</v>
      </c>
      <c r="J29">
        <f t="shared" si="0"/>
        <v>47040</v>
      </c>
      <c r="L29">
        <f t="shared" si="1"/>
        <v>21</v>
      </c>
    </row>
    <row r="30" spans="1:12" x14ac:dyDescent="0.25">
      <c r="A30" s="2">
        <v>1754</v>
      </c>
      <c r="B30" t="s">
        <v>14</v>
      </c>
      <c r="C30" t="s">
        <v>54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 s="2">
        <v>1754</v>
      </c>
      <c r="B31" t="s">
        <v>23</v>
      </c>
      <c r="C31" t="s">
        <v>54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 s="2">
        <v>1754</v>
      </c>
      <c r="B32" t="s">
        <v>25</v>
      </c>
      <c r="C32" t="s">
        <v>54</v>
      </c>
      <c r="D32" t="s">
        <v>31</v>
      </c>
      <c r="H32">
        <v>337777</v>
      </c>
      <c r="I32" t="s">
        <v>117</v>
      </c>
      <c r="J32">
        <f t="shared" si="0"/>
        <v>337777</v>
      </c>
      <c r="L32">
        <f t="shared" si="1"/>
        <v>150.79330357142857</v>
      </c>
    </row>
    <row r="33" spans="1:12" x14ac:dyDescent="0.25">
      <c r="A33" s="2">
        <v>1754</v>
      </c>
      <c r="B33" t="s">
        <v>15</v>
      </c>
      <c r="C33" t="s">
        <v>54</v>
      </c>
      <c r="D33" t="s">
        <v>31</v>
      </c>
      <c r="J33">
        <f t="shared" si="0"/>
        <v>0</v>
      </c>
      <c r="L33">
        <f t="shared" si="1"/>
        <v>0</v>
      </c>
    </row>
    <row r="34" spans="1:12" x14ac:dyDescent="0.25">
      <c r="A34" s="2">
        <v>1754</v>
      </c>
      <c r="B34" t="s">
        <v>40</v>
      </c>
      <c r="C34" t="s">
        <v>54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 s="2">
        <v>1754</v>
      </c>
      <c r="B35" t="s">
        <v>45</v>
      </c>
      <c r="C35" t="s">
        <v>54</v>
      </c>
      <c r="D35" t="s">
        <v>31</v>
      </c>
      <c r="H35">
        <v>310</v>
      </c>
      <c r="I35" t="s">
        <v>115</v>
      </c>
      <c r="J35">
        <f t="shared" si="0"/>
        <v>310</v>
      </c>
      <c r="L35">
        <f t="shared" si="1"/>
        <v>0.13839285714285715</v>
      </c>
    </row>
    <row r="36" spans="1:12" x14ac:dyDescent="0.25">
      <c r="A36" s="2">
        <v>1754</v>
      </c>
      <c r="B36" t="s">
        <v>114</v>
      </c>
      <c r="C36" t="s">
        <v>54</v>
      </c>
      <c r="D36" t="s">
        <v>31</v>
      </c>
      <c r="E36">
        <v>30</v>
      </c>
      <c r="J36">
        <f t="shared" si="0"/>
        <v>67200</v>
      </c>
      <c r="L36">
        <f t="shared" si="1"/>
        <v>30</v>
      </c>
    </row>
    <row r="37" spans="1:12" x14ac:dyDescent="0.25">
      <c r="A37" s="2">
        <v>1754</v>
      </c>
      <c r="B37" t="s">
        <v>16</v>
      </c>
      <c r="C37" t="s">
        <v>54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 s="2">
        <v>1754</v>
      </c>
      <c r="B38" t="s">
        <v>17</v>
      </c>
      <c r="C38" t="s">
        <v>54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 s="2">
        <v>1754</v>
      </c>
      <c r="B39" t="s">
        <v>18</v>
      </c>
      <c r="C39" t="s">
        <v>54</v>
      </c>
      <c r="D39" t="s">
        <v>31</v>
      </c>
      <c r="H39">
        <v>195027.5</v>
      </c>
      <c r="I39" t="s">
        <v>116</v>
      </c>
      <c r="J39">
        <f t="shared" si="0"/>
        <v>195027.5</v>
      </c>
      <c r="L39">
        <f t="shared" si="1"/>
        <v>87.065848214285708</v>
      </c>
    </row>
    <row r="40" spans="1:12" x14ac:dyDescent="0.25">
      <c r="A40" s="2">
        <v>1754</v>
      </c>
      <c r="B40" t="s">
        <v>24</v>
      </c>
      <c r="C40" t="s">
        <v>54</v>
      </c>
      <c r="D40" t="s">
        <v>31</v>
      </c>
      <c r="H40">
        <v>336</v>
      </c>
      <c r="J40">
        <f t="shared" si="0"/>
        <v>336</v>
      </c>
      <c r="L40">
        <f t="shared" si="1"/>
        <v>0.15</v>
      </c>
    </row>
    <row r="41" spans="1:12" x14ac:dyDescent="0.25">
      <c r="A41" s="2">
        <v>1754</v>
      </c>
      <c r="B41" t="s">
        <v>19</v>
      </c>
      <c r="C41" t="s">
        <v>54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 s="2">
        <v>1754</v>
      </c>
      <c r="B42" t="s">
        <v>43</v>
      </c>
      <c r="C42" t="s">
        <v>54</v>
      </c>
      <c r="D42" t="s">
        <v>31</v>
      </c>
      <c r="J42">
        <f t="shared" si="0"/>
        <v>0</v>
      </c>
      <c r="L42">
        <f t="shared" si="1"/>
        <v>0</v>
      </c>
    </row>
    <row r="43" spans="1:12" x14ac:dyDescent="0.25">
      <c r="A43" s="2">
        <v>1754</v>
      </c>
      <c r="B43" t="s">
        <v>52</v>
      </c>
      <c r="C43" t="s">
        <v>54</v>
      </c>
      <c r="D43" t="s">
        <v>31</v>
      </c>
      <c r="H43">
        <v>1893</v>
      </c>
      <c r="J43">
        <f t="shared" si="0"/>
        <v>1893</v>
      </c>
      <c r="L43">
        <f t="shared" si="1"/>
        <v>0.84508928571428577</v>
      </c>
    </row>
    <row r="44" spans="1:12" x14ac:dyDescent="0.25">
      <c r="A44" s="2">
        <v>1754</v>
      </c>
      <c r="B44" t="s">
        <v>91</v>
      </c>
      <c r="C44" t="s">
        <v>54</v>
      </c>
      <c r="D44" t="s">
        <v>31</v>
      </c>
      <c r="H44">
        <v>491</v>
      </c>
      <c r="J44">
        <f t="shared" si="0"/>
        <v>491</v>
      </c>
      <c r="L44">
        <f t="shared" si="1"/>
        <v>0.21919642857142857</v>
      </c>
    </row>
    <row r="45" spans="1:12" x14ac:dyDescent="0.25">
      <c r="A45" s="2">
        <v>1754</v>
      </c>
      <c r="B45" t="s">
        <v>20</v>
      </c>
      <c r="C45" t="s">
        <v>54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 s="2">
        <v>1754</v>
      </c>
      <c r="B46" t="s">
        <v>21</v>
      </c>
      <c r="C46" t="s">
        <v>54</v>
      </c>
      <c r="D46" t="s">
        <v>31</v>
      </c>
      <c r="H46">
        <v>124</v>
      </c>
      <c r="J46">
        <f t="shared" si="0"/>
        <v>124</v>
      </c>
      <c r="L46">
        <f t="shared" si="1"/>
        <v>5.5357142857142855E-2</v>
      </c>
    </row>
    <row r="47" spans="1:12" x14ac:dyDescent="0.25">
      <c r="A47" s="2">
        <v>1754</v>
      </c>
      <c r="B47" t="s">
        <v>22</v>
      </c>
      <c r="C47" t="s">
        <v>54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 s="2">
        <v>1754</v>
      </c>
      <c r="B48" t="s">
        <v>59</v>
      </c>
      <c r="C48" t="s">
        <v>54</v>
      </c>
      <c r="D48" t="s">
        <v>31</v>
      </c>
      <c r="E48">
        <v>34</v>
      </c>
      <c r="J48">
        <f t="shared" si="0"/>
        <v>76160</v>
      </c>
      <c r="L48">
        <f t="shared" si="1"/>
        <v>34</v>
      </c>
    </row>
    <row r="49" spans="1:12" x14ac:dyDescent="0.25">
      <c r="A49" s="2">
        <v>1754</v>
      </c>
      <c r="B49" t="s">
        <v>60</v>
      </c>
      <c r="C49" t="s">
        <v>54</v>
      </c>
      <c r="D49" t="s">
        <v>31</v>
      </c>
      <c r="E49">
        <v>297</v>
      </c>
      <c r="F49">
        <v>7</v>
      </c>
      <c r="G49">
        <v>3</v>
      </c>
      <c r="J49">
        <f t="shared" si="0"/>
        <v>666148</v>
      </c>
      <c r="L49">
        <f t="shared" si="1"/>
        <v>297.38749999999999</v>
      </c>
    </row>
    <row r="50" spans="1:12" x14ac:dyDescent="0.25">
      <c r="A50" s="2">
        <v>1754</v>
      </c>
      <c r="B50" t="s">
        <v>61</v>
      </c>
      <c r="C50" t="s">
        <v>54</v>
      </c>
      <c r="D50" t="s">
        <v>31</v>
      </c>
      <c r="E50">
        <v>10</v>
      </c>
      <c r="J50">
        <f t="shared" si="0"/>
        <v>22400</v>
      </c>
      <c r="L50">
        <f t="shared" si="1"/>
        <v>10</v>
      </c>
    </row>
    <row r="51" spans="1:12" x14ac:dyDescent="0.25">
      <c r="A51" s="2">
        <v>1754</v>
      </c>
      <c r="B51" t="s">
        <v>86</v>
      </c>
      <c r="C51" t="s">
        <v>54</v>
      </c>
      <c r="D51" t="s">
        <v>31</v>
      </c>
      <c r="E51">
        <v>197</v>
      </c>
      <c r="F51">
        <v>5</v>
      </c>
      <c r="J51">
        <f t="shared" si="0"/>
        <v>441840</v>
      </c>
      <c r="L51">
        <f t="shared" si="1"/>
        <v>197.25</v>
      </c>
    </row>
    <row r="52" spans="1:12" x14ac:dyDescent="0.25">
      <c r="A52" s="2">
        <v>1754</v>
      </c>
      <c r="B52" t="s">
        <v>68</v>
      </c>
      <c r="C52" t="s">
        <v>54</v>
      </c>
      <c r="D52" t="s">
        <v>31</v>
      </c>
      <c r="E52">
        <v>108</v>
      </c>
      <c r="J52">
        <f t="shared" si="0"/>
        <v>241920</v>
      </c>
      <c r="L52">
        <f t="shared" si="1"/>
        <v>108</v>
      </c>
    </row>
    <row r="53" spans="1:12" x14ac:dyDescent="0.25">
      <c r="A53" s="2">
        <v>1754</v>
      </c>
      <c r="B53" t="s">
        <v>62</v>
      </c>
      <c r="C53" t="s">
        <v>54</v>
      </c>
      <c r="D53" t="s">
        <v>31</v>
      </c>
      <c r="E53">
        <v>21</v>
      </c>
      <c r="F53">
        <v>13</v>
      </c>
      <c r="G53">
        <v>3</v>
      </c>
      <c r="H53">
        <v>9</v>
      </c>
      <c r="J53">
        <f t="shared" si="0"/>
        <v>48589</v>
      </c>
      <c r="L53">
        <f t="shared" si="1"/>
        <v>21.691517857142856</v>
      </c>
    </row>
    <row r="54" spans="1:12" x14ac:dyDescent="0.25">
      <c r="A54" s="2">
        <v>1754</v>
      </c>
      <c r="B54" t="s">
        <v>63</v>
      </c>
      <c r="C54" t="s">
        <v>54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 s="2">
        <v>1754</v>
      </c>
      <c r="B55" t="s">
        <v>53</v>
      </c>
      <c r="C55" t="s">
        <v>54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 s="2">
        <v>1754</v>
      </c>
      <c r="B56" t="s">
        <v>55</v>
      </c>
      <c r="C56" t="s">
        <v>54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 s="2">
        <v>1754</v>
      </c>
      <c r="B57" t="s">
        <v>34</v>
      </c>
      <c r="C57" t="s">
        <v>54</v>
      </c>
      <c r="D57" t="s">
        <v>33</v>
      </c>
      <c r="H57">
        <v>1690</v>
      </c>
      <c r="J57">
        <f t="shared" si="0"/>
        <v>1690</v>
      </c>
      <c r="L57">
        <f t="shared" si="1"/>
        <v>0.7544642857142857</v>
      </c>
    </row>
    <row r="58" spans="1:12" x14ac:dyDescent="0.25">
      <c r="A58" s="2">
        <v>1754</v>
      </c>
      <c r="B58" t="s">
        <v>4</v>
      </c>
      <c r="C58" t="s">
        <v>54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 s="2">
        <v>1754</v>
      </c>
      <c r="B59" t="s">
        <v>56</v>
      </c>
      <c r="C59" t="s">
        <v>54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 s="2">
        <v>1754</v>
      </c>
      <c r="B60" t="s">
        <v>147</v>
      </c>
      <c r="C60" t="s">
        <v>54</v>
      </c>
      <c r="D60" t="s">
        <v>33</v>
      </c>
      <c r="H60">
        <v>93</v>
      </c>
      <c r="J60">
        <f t="shared" si="0"/>
        <v>93</v>
      </c>
      <c r="L60">
        <f t="shared" si="1"/>
        <v>4.1517857142857141E-2</v>
      </c>
    </row>
    <row r="61" spans="1:12" x14ac:dyDescent="0.25">
      <c r="A61" s="2">
        <v>1754</v>
      </c>
      <c r="B61" t="s">
        <v>166</v>
      </c>
      <c r="C61" t="s">
        <v>54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 s="2">
        <v>1754</v>
      </c>
      <c r="B62" t="s">
        <v>41</v>
      </c>
      <c r="C62" t="s">
        <v>54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 s="2">
        <v>1754</v>
      </c>
      <c r="B63" t="s">
        <v>5</v>
      </c>
      <c r="C63" t="s">
        <v>54</v>
      </c>
      <c r="D63" t="s">
        <v>33</v>
      </c>
      <c r="F63">
        <v>51</v>
      </c>
      <c r="G63">
        <v>1</v>
      </c>
      <c r="H63">
        <v>20</v>
      </c>
      <c r="J63">
        <f t="shared" si="0"/>
        <v>5760</v>
      </c>
      <c r="L63">
        <f t="shared" si="1"/>
        <v>2.5714285714285716</v>
      </c>
    </row>
    <row r="64" spans="1:12" x14ac:dyDescent="0.25">
      <c r="A64" s="2">
        <v>1754</v>
      </c>
      <c r="B64" t="s">
        <v>57</v>
      </c>
      <c r="C64" t="s">
        <v>54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 s="2">
        <v>1754</v>
      </c>
      <c r="B65" t="s">
        <v>6</v>
      </c>
      <c r="C65" t="s">
        <v>54</v>
      </c>
      <c r="D65" t="s">
        <v>33</v>
      </c>
      <c r="F65">
        <v>38780</v>
      </c>
      <c r="G65">
        <v>1</v>
      </c>
      <c r="H65">
        <v>21</v>
      </c>
      <c r="J65">
        <f t="shared" si="0"/>
        <v>4343409</v>
      </c>
      <c r="L65">
        <f t="shared" si="1"/>
        <v>1939.0218749999999</v>
      </c>
    </row>
    <row r="66" spans="1:12" x14ac:dyDescent="0.25">
      <c r="A66" s="2">
        <v>1754</v>
      </c>
      <c r="B66" t="s">
        <v>58</v>
      </c>
      <c r="C66" t="s">
        <v>54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 s="2">
        <v>1754</v>
      </c>
      <c r="B67" t="s">
        <v>36</v>
      </c>
      <c r="C67" t="s">
        <v>54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 s="2">
        <v>1754</v>
      </c>
      <c r="B68" t="s">
        <v>35</v>
      </c>
      <c r="C68" t="s">
        <v>54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 s="2">
        <v>1754</v>
      </c>
      <c r="B69" t="s">
        <v>8</v>
      </c>
      <c r="C69" t="s">
        <v>54</v>
      </c>
      <c r="D69" t="s">
        <v>33</v>
      </c>
      <c r="F69">
        <v>7</v>
      </c>
      <c r="G69">
        <v>3</v>
      </c>
      <c r="H69">
        <v>21</v>
      </c>
      <c r="J69">
        <f t="shared" si="0"/>
        <v>889</v>
      </c>
      <c r="L69">
        <f t="shared" si="1"/>
        <v>0.39687499999999998</v>
      </c>
    </row>
    <row r="70" spans="1:12" x14ac:dyDescent="0.25">
      <c r="A70" s="2">
        <v>1754</v>
      </c>
      <c r="B70" t="s">
        <v>38</v>
      </c>
      <c r="C70" t="s">
        <v>54</v>
      </c>
      <c r="D70" t="s">
        <v>33</v>
      </c>
      <c r="J70">
        <f t="shared" si="0"/>
        <v>0</v>
      </c>
      <c r="L70">
        <f t="shared" si="1"/>
        <v>0</v>
      </c>
    </row>
    <row r="71" spans="1:12" x14ac:dyDescent="0.25">
      <c r="A71" s="2">
        <v>1754</v>
      </c>
      <c r="B71" t="s">
        <v>9</v>
      </c>
      <c r="C71" t="s">
        <v>54</v>
      </c>
      <c r="D71" t="s">
        <v>33</v>
      </c>
      <c r="H71">
        <f>970.25*200</f>
        <v>194050</v>
      </c>
      <c r="I71" t="s">
        <v>151</v>
      </c>
      <c r="J71">
        <f t="shared" si="0"/>
        <v>194050</v>
      </c>
      <c r="L71">
        <f t="shared" si="1"/>
        <v>86.629464285714292</v>
      </c>
    </row>
    <row r="72" spans="1:12" x14ac:dyDescent="0.25">
      <c r="A72" s="2">
        <v>1754</v>
      </c>
      <c r="B72" t="s">
        <v>10</v>
      </c>
      <c r="C72" t="s">
        <v>54</v>
      </c>
      <c r="D72" t="s">
        <v>33</v>
      </c>
      <c r="F72">
        <v>3087</v>
      </c>
      <c r="G72">
        <v>1</v>
      </c>
      <c r="H72">
        <v>17</v>
      </c>
      <c r="J72">
        <f t="shared" si="0"/>
        <v>345789</v>
      </c>
      <c r="L72">
        <f t="shared" si="1"/>
        <v>154.37008928571427</v>
      </c>
    </row>
    <row r="73" spans="1:12" x14ac:dyDescent="0.25">
      <c r="A73" s="2">
        <v>1754</v>
      </c>
      <c r="B73" t="s">
        <v>11</v>
      </c>
      <c r="C73" t="s">
        <v>54</v>
      </c>
      <c r="D73" t="s">
        <v>33</v>
      </c>
      <c r="F73">
        <v>218</v>
      </c>
      <c r="G73">
        <v>2</v>
      </c>
      <c r="J73">
        <f t="shared" ref="J73:J108" si="2">(E73*2240)+(F73*112)+(G73*28)+H73</f>
        <v>24472</v>
      </c>
      <c r="L73">
        <f t="shared" ref="L73:L108" si="3">J73/2240</f>
        <v>10.925000000000001</v>
      </c>
    </row>
    <row r="74" spans="1:12" x14ac:dyDescent="0.25">
      <c r="A74" s="2">
        <v>1754</v>
      </c>
      <c r="B74" t="s">
        <v>37</v>
      </c>
      <c r="C74" t="s">
        <v>54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 s="2">
        <v>1754</v>
      </c>
      <c r="B75" t="s">
        <v>77</v>
      </c>
      <c r="C75" t="s">
        <v>54</v>
      </c>
      <c r="D75" t="s">
        <v>33</v>
      </c>
      <c r="H75">
        <v>5017</v>
      </c>
      <c r="J75">
        <f t="shared" si="2"/>
        <v>5017</v>
      </c>
      <c r="L75">
        <f t="shared" si="3"/>
        <v>2.2397321428571431</v>
      </c>
    </row>
    <row r="76" spans="1:12" x14ac:dyDescent="0.25">
      <c r="A76" s="2">
        <v>1754</v>
      </c>
      <c r="B76" t="s">
        <v>42</v>
      </c>
      <c r="C76" t="s">
        <v>54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 s="2">
        <v>1754</v>
      </c>
      <c r="B77" t="s">
        <v>12</v>
      </c>
      <c r="C77" t="s">
        <v>54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 s="2">
        <v>1754</v>
      </c>
      <c r="B78" t="s">
        <v>103</v>
      </c>
      <c r="C78" t="s">
        <v>54</v>
      </c>
      <c r="D78" t="s">
        <v>33</v>
      </c>
      <c r="H78">
        <v>504</v>
      </c>
      <c r="J78">
        <f t="shared" si="2"/>
        <v>504</v>
      </c>
      <c r="L78">
        <f t="shared" si="3"/>
        <v>0.22500000000000001</v>
      </c>
    </row>
    <row r="79" spans="1:12" x14ac:dyDescent="0.25">
      <c r="A79" s="2">
        <v>1754</v>
      </c>
      <c r="B79" t="s">
        <v>32</v>
      </c>
      <c r="C79" t="s">
        <v>54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 s="2">
        <v>1754</v>
      </c>
      <c r="B80" t="s">
        <v>13</v>
      </c>
      <c r="C80" t="s">
        <v>54</v>
      </c>
      <c r="D80" t="s">
        <v>33</v>
      </c>
      <c r="E80">
        <v>15</v>
      </c>
      <c r="F80">
        <v>12</v>
      </c>
      <c r="H80">
        <v>11</v>
      </c>
      <c r="J80">
        <f t="shared" si="2"/>
        <v>34955</v>
      </c>
      <c r="L80">
        <f t="shared" si="3"/>
        <v>15.604910714285714</v>
      </c>
    </row>
    <row r="81" spans="1:12" x14ac:dyDescent="0.25">
      <c r="A81" s="2">
        <v>1754</v>
      </c>
      <c r="B81" t="s">
        <v>14</v>
      </c>
      <c r="C81" t="s">
        <v>54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 s="2">
        <v>1754</v>
      </c>
      <c r="B82" t="s">
        <v>23</v>
      </c>
      <c r="C82" t="s">
        <v>54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 s="2">
        <v>1754</v>
      </c>
      <c r="B83" t="s">
        <v>25</v>
      </c>
      <c r="C83" t="s">
        <v>54</v>
      </c>
      <c r="D83" t="s">
        <v>33</v>
      </c>
      <c r="H83">
        <v>70188</v>
      </c>
      <c r="I83" t="s">
        <v>150</v>
      </c>
      <c r="J83">
        <f t="shared" si="2"/>
        <v>70188</v>
      </c>
      <c r="L83">
        <f t="shared" si="3"/>
        <v>31.333928571428572</v>
      </c>
    </row>
    <row r="84" spans="1:12" x14ac:dyDescent="0.25">
      <c r="A84" s="2">
        <v>1754</v>
      </c>
      <c r="B84" t="s">
        <v>15</v>
      </c>
      <c r="C84" t="s">
        <v>54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 s="2">
        <v>1754</v>
      </c>
      <c r="B85" t="s">
        <v>89</v>
      </c>
      <c r="C85" t="s">
        <v>54</v>
      </c>
      <c r="D85" t="s">
        <v>33</v>
      </c>
      <c r="J85">
        <f t="shared" si="2"/>
        <v>0</v>
      </c>
      <c r="L85">
        <f t="shared" si="3"/>
        <v>0</v>
      </c>
    </row>
    <row r="86" spans="1:12" x14ac:dyDescent="0.25">
      <c r="A86" s="2">
        <v>1754</v>
      </c>
      <c r="B86" t="s">
        <v>40</v>
      </c>
      <c r="C86" t="s">
        <v>54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 s="2">
        <v>1754</v>
      </c>
      <c r="B87" t="s">
        <v>45</v>
      </c>
      <c r="C87" t="s">
        <v>54</v>
      </c>
      <c r="D87" t="s">
        <v>33</v>
      </c>
      <c r="H87">
        <v>110</v>
      </c>
      <c r="I87" t="s">
        <v>148</v>
      </c>
      <c r="J87">
        <f t="shared" si="2"/>
        <v>110</v>
      </c>
      <c r="L87">
        <f t="shared" si="3"/>
        <v>4.9107142857142856E-2</v>
      </c>
    </row>
    <row r="88" spans="1:12" x14ac:dyDescent="0.25">
      <c r="A88" s="2">
        <v>1754</v>
      </c>
      <c r="B88" t="s">
        <v>16</v>
      </c>
      <c r="C88" t="s">
        <v>54</v>
      </c>
      <c r="D88" t="s">
        <v>33</v>
      </c>
      <c r="J88">
        <f t="shared" si="2"/>
        <v>0</v>
      </c>
      <c r="L88">
        <f t="shared" si="3"/>
        <v>0</v>
      </c>
    </row>
    <row r="89" spans="1:12" x14ac:dyDescent="0.25">
      <c r="A89" s="2">
        <v>1754</v>
      </c>
      <c r="B89" t="s">
        <v>102</v>
      </c>
      <c r="C89" t="s">
        <v>54</v>
      </c>
      <c r="D89" t="s">
        <v>33</v>
      </c>
      <c r="J89">
        <f t="shared" si="2"/>
        <v>0</v>
      </c>
      <c r="L89">
        <f t="shared" si="3"/>
        <v>0</v>
      </c>
    </row>
    <row r="90" spans="1:12" x14ac:dyDescent="0.25">
      <c r="A90" s="2">
        <v>1754</v>
      </c>
      <c r="B90" t="s">
        <v>17</v>
      </c>
      <c r="C90" t="s">
        <v>54</v>
      </c>
      <c r="D90" t="s">
        <v>33</v>
      </c>
      <c r="F90">
        <v>1189</v>
      </c>
      <c r="G90">
        <v>1</v>
      </c>
      <c r="J90">
        <f t="shared" si="2"/>
        <v>133196</v>
      </c>
      <c r="L90">
        <f t="shared" si="3"/>
        <v>59.462499999999999</v>
      </c>
    </row>
    <row r="91" spans="1:12" x14ac:dyDescent="0.25">
      <c r="A91" s="2">
        <v>1754</v>
      </c>
      <c r="B91" t="s">
        <v>18</v>
      </c>
      <c r="C91" t="s">
        <v>54</v>
      </c>
      <c r="D91" t="s">
        <v>33</v>
      </c>
      <c r="H91">
        <v>138820.5</v>
      </c>
      <c r="I91" t="s">
        <v>149</v>
      </c>
      <c r="J91">
        <f t="shared" si="2"/>
        <v>138820.5</v>
      </c>
      <c r="L91">
        <f t="shared" si="3"/>
        <v>61.973437500000003</v>
      </c>
    </row>
    <row r="92" spans="1:12" x14ac:dyDescent="0.25">
      <c r="A92" s="2">
        <v>1754</v>
      </c>
      <c r="B92" t="s">
        <v>24</v>
      </c>
      <c r="C92" t="s">
        <v>54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 s="2">
        <v>1754</v>
      </c>
      <c r="B93" t="s">
        <v>19</v>
      </c>
      <c r="C93" t="s">
        <v>54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 s="2">
        <v>1754</v>
      </c>
      <c r="B94" t="s">
        <v>43</v>
      </c>
      <c r="C94" t="s">
        <v>54</v>
      </c>
      <c r="D94" t="s">
        <v>33</v>
      </c>
      <c r="J94">
        <f t="shared" si="2"/>
        <v>0</v>
      </c>
      <c r="L94">
        <f t="shared" si="3"/>
        <v>0</v>
      </c>
    </row>
    <row r="95" spans="1:12" x14ac:dyDescent="0.25">
      <c r="A95" s="2">
        <v>1754</v>
      </c>
      <c r="B95" t="s">
        <v>52</v>
      </c>
      <c r="C95" t="s">
        <v>54</v>
      </c>
      <c r="D95" t="s">
        <v>33</v>
      </c>
      <c r="H95">
        <v>185</v>
      </c>
      <c r="J95">
        <f t="shared" si="2"/>
        <v>185</v>
      </c>
      <c r="L95">
        <f t="shared" si="3"/>
        <v>8.2589285714285712E-2</v>
      </c>
    </row>
    <row r="96" spans="1:12" x14ac:dyDescent="0.25">
      <c r="A96" s="2">
        <v>1754</v>
      </c>
      <c r="B96" t="s">
        <v>91</v>
      </c>
      <c r="C96" t="s">
        <v>54</v>
      </c>
      <c r="D96" t="s">
        <v>33</v>
      </c>
      <c r="H96">
        <v>42</v>
      </c>
      <c r="J96">
        <f t="shared" si="2"/>
        <v>42</v>
      </c>
      <c r="L96">
        <f t="shared" si="3"/>
        <v>1.8749999999999999E-2</v>
      </c>
    </row>
    <row r="97" spans="1:12" x14ac:dyDescent="0.25">
      <c r="A97" s="2">
        <v>1754</v>
      </c>
      <c r="B97" t="s">
        <v>20</v>
      </c>
      <c r="C97" t="s">
        <v>54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 s="2">
        <v>1754</v>
      </c>
      <c r="B98" t="s">
        <v>21</v>
      </c>
      <c r="C98" t="s">
        <v>54</v>
      </c>
      <c r="D98" t="s">
        <v>33</v>
      </c>
      <c r="J98">
        <f t="shared" si="2"/>
        <v>0</v>
      </c>
      <c r="L98">
        <f t="shared" si="3"/>
        <v>0</v>
      </c>
    </row>
    <row r="99" spans="1:12" x14ac:dyDescent="0.25">
      <c r="A99" s="2">
        <v>1754</v>
      </c>
      <c r="B99" t="s">
        <v>87</v>
      </c>
      <c r="C99" t="s">
        <v>54</v>
      </c>
      <c r="D99" t="s">
        <v>33</v>
      </c>
      <c r="F99">
        <v>67</v>
      </c>
      <c r="G99">
        <v>3</v>
      </c>
      <c r="H99">
        <v>13</v>
      </c>
      <c r="J99">
        <f t="shared" si="2"/>
        <v>7601</v>
      </c>
      <c r="L99">
        <f t="shared" si="3"/>
        <v>3.3933035714285715</v>
      </c>
    </row>
    <row r="100" spans="1:12" x14ac:dyDescent="0.25">
      <c r="A100" s="2">
        <v>1754</v>
      </c>
      <c r="B100" t="s">
        <v>22</v>
      </c>
      <c r="C100" t="s">
        <v>54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 s="2">
        <v>1754</v>
      </c>
      <c r="B101" t="s">
        <v>59</v>
      </c>
      <c r="C101" t="s">
        <v>54</v>
      </c>
      <c r="D101" t="s">
        <v>33</v>
      </c>
      <c r="E101">
        <v>23</v>
      </c>
      <c r="J101">
        <f t="shared" si="2"/>
        <v>51520</v>
      </c>
      <c r="L101">
        <f t="shared" si="3"/>
        <v>23</v>
      </c>
    </row>
    <row r="102" spans="1:12" x14ac:dyDescent="0.25">
      <c r="A102" s="2">
        <v>1754</v>
      </c>
      <c r="B102" t="s">
        <v>84</v>
      </c>
      <c r="C102" t="s">
        <v>54</v>
      </c>
      <c r="D102" t="s">
        <v>33</v>
      </c>
      <c r="E102">
        <v>3</v>
      </c>
      <c r="F102">
        <v>14</v>
      </c>
      <c r="G102">
        <v>1</v>
      </c>
      <c r="H102">
        <v>20</v>
      </c>
      <c r="J102">
        <f t="shared" si="2"/>
        <v>8336</v>
      </c>
      <c r="L102">
        <f t="shared" si="3"/>
        <v>3.7214285714285715</v>
      </c>
    </row>
    <row r="103" spans="1:12" x14ac:dyDescent="0.25">
      <c r="A103" s="2">
        <v>1754</v>
      </c>
      <c r="B103" t="s">
        <v>60</v>
      </c>
      <c r="C103" t="s">
        <v>54</v>
      </c>
      <c r="D103" t="s">
        <v>33</v>
      </c>
      <c r="E103">
        <v>46</v>
      </c>
      <c r="F103">
        <v>7</v>
      </c>
      <c r="G103">
        <v>1</v>
      </c>
      <c r="H103">
        <v>26</v>
      </c>
      <c r="J103">
        <f t="shared" si="2"/>
        <v>103878</v>
      </c>
      <c r="L103">
        <f t="shared" si="3"/>
        <v>46.374107142857142</v>
      </c>
    </row>
    <row r="104" spans="1:12" x14ac:dyDescent="0.25">
      <c r="A104" s="2">
        <v>1754</v>
      </c>
      <c r="B104" t="s">
        <v>61</v>
      </c>
      <c r="C104" t="s">
        <v>54</v>
      </c>
      <c r="D104" t="s">
        <v>33</v>
      </c>
      <c r="E104">
        <v>7</v>
      </c>
      <c r="J104">
        <f t="shared" si="2"/>
        <v>15680</v>
      </c>
      <c r="L104">
        <f t="shared" si="3"/>
        <v>7</v>
      </c>
    </row>
    <row r="105" spans="1:12" x14ac:dyDescent="0.25">
      <c r="A105" s="2">
        <v>1754</v>
      </c>
      <c r="B105" t="s">
        <v>86</v>
      </c>
      <c r="C105" t="s">
        <v>54</v>
      </c>
      <c r="D105" t="s">
        <v>33</v>
      </c>
      <c r="E105">
        <v>1</v>
      </c>
      <c r="F105">
        <v>5</v>
      </c>
      <c r="J105">
        <f t="shared" si="2"/>
        <v>2800</v>
      </c>
      <c r="L105">
        <f t="shared" si="3"/>
        <v>1.25</v>
      </c>
    </row>
    <row r="106" spans="1:12" x14ac:dyDescent="0.25">
      <c r="A106" s="2">
        <v>1754</v>
      </c>
      <c r="B106" t="s">
        <v>68</v>
      </c>
      <c r="C106" t="s">
        <v>54</v>
      </c>
      <c r="D106" t="s">
        <v>33</v>
      </c>
      <c r="J106">
        <f t="shared" si="2"/>
        <v>0</v>
      </c>
      <c r="L106">
        <f t="shared" si="3"/>
        <v>0</v>
      </c>
    </row>
    <row r="107" spans="1:12" x14ac:dyDescent="0.25">
      <c r="A107" s="2">
        <v>1754</v>
      </c>
      <c r="B107" t="s">
        <v>62</v>
      </c>
      <c r="C107" t="s">
        <v>54</v>
      </c>
      <c r="D107" t="s">
        <v>33</v>
      </c>
      <c r="E107">
        <v>22</v>
      </c>
      <c r="F107">
        <v>2</v>
      </c>
      <c r="H107">
        <v>12</v>
      </c>
      <c r="J107">
        <f t="shared" si="2"/>
        <v>49516</v>
      </c>
      <c r="L107">
        <f t="shared" si="3"/>
        <v>22.105357142857144</v>
      </c>
    </row>
    <row r="108" spans="1:12" x14ac:dyDescent="0.25">
      <c r="A108" s="2">
        <v>1754</v>
      </c>
      <c r="B108" t="s">
        <v>63</v>
      </c>
      <c r="C108" t="s">
        <v>54</v>
      </c>
      <c r="D108" t="s">
        <v>33</v>
      </c>
      <c r="J108">
        <f t="shared" si="2"/>
        <v>0</v>
      </c>
      <c r="L108">
        <f t="shared" si="3"/>
        <v>0</v>
      </c>
    </row>
  </sheetData>
  <autoFilter ref="A1:N58" xr:uid="{AAD1F908-12B8-4B3A-A65D-184CD229ACD4}">
    <sortState xmlns:xlrd2="http://schemas.microsoft.com/office/spreadsheetml/2017/richdata2" ref="A2:N58">
      <sortCondition ref="B1:B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1"/>
  <sheetViews>
    <sheetView workbookViewId="0">
      <selection activeCell="H7" sqref="H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</row>
    <row r="2" spans="1:12" x14ac:dyDescent="0.25">
      <c r="A2">
        <v>1754</v>
      </c>
      <c r="B2" t="s">
        <v>34</v>
      </c>
      <c r="C2" t="s">
        <v>65</v>
      </c>
      <c r="D2" t="s">
        <v>31</v>
      </c>
      <c r="H2">
        <v>963</v>
      </c>
      <c r="J2">
        <f>(E2*2240)+(F2*112)+(G2*28)+H2</f>
        <v>963</v>
      </c>
      <c r="L2">
        <f>J2/2240</f>
        <v>0.42991071428571431</v>
      </c>
    </row>
    <row r="3" spans="1:12" x14ac:dyDescent="0.25">
      <c r="A3">
        <v>1754</v>
      </c>
      <c r="B3" t="s">
        <v>64</v>
      </c>
      <c r="C3" t="s">
        <v>65</v>
      </c>
      <c r="D3" t="s">
        <v>31</v>
      </c>
      <c r="J3">
        <f t="shared" ref="J3:J31" si="0">(E3*2240)+(F3*112)+(G3*28)+H3</f>
        <v>0</v>
      </c>
      <c r="L3">
        <f t="shared" ref="L3:L31" si="1">J3/2240</f>
        <v>0</v>
      </c>
    </row>
    <row r="4" spans="1:12" x14ac:dyDescent="0.25">
      <c r="A4">
        <v>1754</v>
      </c>
      <c r="B4" t="s">
        <v>6</v>
      </c>
      <c r="C4" t="s">
        <v>65</v>
      </c>
      <c r="D4" t="s">
        <v>31</v>
      </c>
      <c r="E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1754</v>
      </c>
      <c r="B5" t="s">
        <v>8</v>
      </c>
      <c r="C5" t="s">
        <v>65</v>
      </c>
      <c r="D5" t="s">
        <v>31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1754</v>
      </c>
      <c r="B6" t="s">
        <v>9</v>
      </c>
      <c r="C6" t="s">
        <v>65</v>
      </c>
      <c r="D6" t="s">
        <v>31</v>
      </c>
      <c r="H6">
        <f>45*200</f>
        <v>9000</v>
      </c>
      <c r="I6" t="s">
        <v>120</v>
      </c>
      <c r="J6">
        <f t="shared" si="0"/>
        <v>9000</v>
      </c>
      <c r="L6">
        <f t="shared" si="1"/>
        <v>4.0178571428571432</v>
      </c>
    </row>
    <row r="7" spans="1:12" x14ac:dyDescent="0.25">
      <c r="A7">
        <v>1754</v>
      </c>
      <c r="B7" t="s">
        <v>11</v>
      </c>
      <c r="C7" t="s">
        <v>65</v>
      </c>
      <c r="D7" t="s">
        <v>31</v>
      </c>
      <c r="J7">
        <f t="shared" si="0"/>
        <v>0</v>
      </c>
      <c r="L7">
        <f t="shared" si="1"/>
        <v>0</v>
      </c>
    </row>
    <row r="8" spans="1:12" x14ac:dyDescent="0.25">
      <c r="A8">
        <v>1754</v>
      </c>
      <c r="B8" t="s">
        <v>99</v>
      </c>
      <c r="C8" t="s">
        <v>65</v>
      </c>
      <c r="D8" t="s">
        <v>31</v>
      </c>
      <c r="H8">
        <v>108</v>
      </c>
      <c r="J8">
        <f t="shared" si="0"/>
        <v>108</v>
      </c>
      <c r="L8">
        <f t="shared" si="1"/>
        <v>4.8214285714285716E-2</v>
      </c>
    </row>
    <row r="9" spans="1:12" x14ac:dyDescent="0.25">
      <c r="A9">
        <v>1754</v>
      </c>
      <c r="B9" t="s">
        <v>12</v>
      </c>
      <c r="C9" t="s">
        <v>65</v>
      </c>
      <c r="D9" t="s">
        <v>31</v>
      </c>
      <c r="J9">
        <f t="shared" si="0"/>
        <v>0</v>
      </c>
      <c r="L9">
        <f t="shared" si="1"/>
        <v>0</v>
      </c>
    </row>
    <row r="10" spans="1:12" x14ac:dyDescent="0.25">
      <c r="A10">
        <v>1754</v>
      </c>
      <c r="B10" t="s">
        <v>25</v>
      </c>
      <c r="C10" t="s">
        <v>65</v>
      </c>
      <c r="D10" t="s">
        <v>31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1754</v>
      </c>
      <c r="B11" t="s">
        <v>15</v>
      </c>
      <c r="C11" t="s">
        <v>65</v>
      </c>
      <c r="D11" t="s">
        <v>31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1754</v>
      </c>
      <c r="B12" t="s">
        <v>17</v>
      </c>
      <c r="C12" t="s">
        <v>65</v>
      </c>
      <c r="D12" t="s">
        <v>31</v>
      </c>
      <c r="J12">
        <f t="shared" si="0"/>
        <v>0</v>
      </c>
      <c r="K12" s="1"/>
      <c r="L12">
        <f t="shared" si="1"/>
        <v>0</v>
      </c>
    </row>
    <row r="13" spans="1:12" x14ac:dyDescent="0.25">
      <c r="A13">
        <v>1754</v>
      </c>
      <c r="B13" t="s">
        <v>18</v>
      </c>
      <c r="C13" t="s">
        <v>65</v>
      </c>
      <c r="D13" t="s">
        <v>31</v>
      </c>
      <c r="H13">
        <v>590</v>
      </c>
      <c r="I13" t="s">
        <v>119</v>
      </c>
      <c r="J13">
        <f t="shared" si="0"/>
        <v>590</v>
      </c>
      <c r="L13">
        <f t="shared" si="1"/>
        <v>0.26339285714285715</v>
      </c>
    </row>
    <row r="14" spans="1:12" x14ac:dyDescent="0.25">
      <c r="A14">
        <v>1754</v>
      </c>
      <c r="B14" t="s">
        <v>19</v>
      </c>
      <c r="C14" t="s">
        <v>65</v>
      </c>
      <c r="D14" t="s">
        <v>31</v>
      </c>
      <c r="J14">
        <f t="shared" si="0"/>
        <v>0</v>
      </c>
      <c r="L14">
        <f t="shared" si="1"/>
        <v>0</v>
      </c>
    </row>
    <row r="15" spans="1:12" x14ac:dyDescent="0.25">
      <c r="A15">
        <v>1754</v>
      </c>
      <c r="B15" t="s">
        <v>52</v>
      </c>
      <c r="C15" t="s">
        <v>65</v>
      </c>
      <c r="D15" t="s">
        <v>31</v>
      </c>
      <c r="H15">
        <v>28</v>
      </c>
      <c r="J15">
        <f t="shared" si="0"/>
        <v>28</v>
      </c>
      <c r="L15">
        <f t="shared" si="1"/>
        <v>1.2500000000000001E-2</v>
      </c>
    </row>
    <row r="16" spans="1:12" x14ac:dyDescent="0.25">
      <c r="A16">
        <v>1754</v>
      </c>
      <c r="B16" t="s">
        <v>21</v>
      </c>
      <c r="C16" t="s">
        <v>65</v>
      </c>
      <c r="D16" t="s">
        <v>31</v>
      </c>
      <c r="H16">
        <v>336</v>
      </c>
      <c r="J16">
        <f t="shared" si="0"/>
        <v>336</v>
      </c>
      <c r="L16">
        <f t="shared" si="1"/>
        <v>0.15</v>
      </c>
    </row>
    <row r="17" spans="1:12" x14ac:dyDescent="0.25">
      <c r="A17">
        <v>1754</v>
      </c>
      <c r="B17" t="s">
        <v>87</v>
      </c>
      <c r="C17" t="s">
        <v>65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59</v>
      </c>
      <c r="C18" t="s">
        <v>65</v>
      </c>
      <c r="D18" t="s">
        <v>31</v>
      </c>
      <c r="E18">
        <v>12</v>
      </c>
      <c r="J18">
        <f t="shared" si="0"/>
        <v>26880</v>
      </c>
      <c r="L18">
        <f t="shared" si="1"/>
        <v>12</v>
      </c>
    </row>
    <row r="19" spans="1:12" x14ac:dyDescent="0.25">
      <c r="A19">
        <v>1754</v>
      </c>
      <c r="B19" t="s">
        <v>60</v>
      </c>
      <c r="C19" t="s">
        <v>65</v>
      </c>
      <c r="D19" t="s">
        <v>31</v>
      </c>
      <c r="F19">
        <v>2</v>
      </c>
      <c r="G19">
        <v>3</v>
      </c>
      <c r="H19">
        <v>19</v>
      </c>
      <c r="J19">
        <f t="shared" si="0"/>
        <v>327</v>
      </c>
      <c r="L19">
        <f t="shared" si="1"/>
        <v>0.14598214285714287</v>
      </c>
    </row>
    <row r="20" spans="1:12" x14ac:dyDescent="0.25">
      <c r="A20">
        <v>1754</v>
      </c>
      <c r="B20" t="s">
        <v>61</v>
      </c>
      <c r="C20" t="s">
        <v>65</v>
      </c>
      <c r="D20" t="s">
        <v>31</v>
      </c>
      <c r="E20">
        <v>80</v>
      </c>
      <c r="J20">
        <f t="shared" si="0"/>
        <v>179200</v>
      </c>
      <c r="L20">
        <f t="shared" si="1"/>
        <v>80</v>
      </c>
    </row>
    <row r="21" spans="1:12" x14ac:dyDescent="0.25">
      <c r="A21">
        <v>1754</v>
      </c>
      <c r="B21" t="s">
        <v>6</v>
      </c>
      <c r="C21" t="s">
        <v>65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12</v>
      </c>
      <c r="C22" t="s">
        <v>65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1754</v>
      </c>
      <c r="B23" t="s">
        <v>39</v>
      </c>
      <c r="C23" t="s">
        <v>65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1754</v>
      </c>
      <c r="B24" t="s">
        <v>25</v>
      </c>
      <c r="C24" t="s">
        <v>65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1754</v>
      </c>
      <c r="B25" t="s">
        <v>17</v>
      </c>
      <c r="C25" t="s">
        <v>65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1754</v>
      </c>
      <c r="B26" t="s">
        <v>19</v>
      </c>
      <c r="C26" t="s">
        <v>65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1754</v>
      </c>
      <c r="B27" t="s">
        <v>52</v>
      </c>
      <c r="C27" t="s">
        <v>65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1754</v>
      </c>
      <c r="B28" t="s">
        <v>9</v>
      </c>
      <c r="C28" t="s">
        <v>65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8</v>
      </c>
      <c r="C29" t="s">
        <v>65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59</v>
      </c>
      <c r="C30" t="s">
        <v>65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61</v>
      </c>
      <c r="C31" t="s">
        <v>65</v>
      </c>
      <c r="D31" t="s">
        <v>33</v>
      </c>
      <c r="J31">
        <f t="shared" si="0"/>
        <v>0</v>
      </c>
      <c r="L3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109" zoomScaleNormal="100" workbookViewId="0">
      <selection activeCell="B2" sqref="B2:B13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</row>
    <row r="2" spans="1:12" x14ac:dyDescent="0.25">
      <c r="A2">
        <v>1754</v>
      </c>
      <c r="B2" t="s">
        <v>53</v>
      </c>
      <c r="C2" t="s">
        <v>66</v>
      </c>
      <c r="D2" t="s">
        <v>31</v>
      </c>
      <c r="J2">
        <f>(E2*2240)+(F2*112)+(G2*28)+H2</f>
        <v>0</v>
      </c>
      <c r="L2">
        <f>J2/2240</f>
        <v>0</v>
      </c>
    </row>
    <row r="3" spans="1:12" x14ac:dyDescent="0.25">
      <c r="A3">
        <v>1754</v>
      </c>
      <c r="B3" t="s">
        <v>55</v>
      </c>
      <c r="C3" t="s">
        <v>66</v>
      </c>
      <c r="D3" t="s">
        <v>31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1754</v>
      </c>
      <c r="B4" t="s">
        <v>34</v>
      </c>
      <c r="C4" t="s">
        <v>66</v>
      </c>
      <c r="D4" t="s">
        <v>31</v>
      </c>
      <c r="H4">
        <v>224</v>
      </c>
      <c r="J4">
        <f t="shared" si="0"/>
        <v>224</v>
      </c>
      <c r="L4">
        <f t="shared" si="1"/>
        <v>0.1</v>
      </c>
    </row>
    <row r="5" spans="1:12" x14ac:dyDescent="0.25">
      <c r="A5">
        <v>1754</v>
      </c>
      <c r="B5" t="s">
        <v>4</v>
      </c>
      <c r="C5" t="s">
        <v>66</v>
      </c>
      <c r="D5" t="s">
        <v>31</v>
      </c>
      <c r="J5">
        <f t="shared" si="0"/>
        <v>0</v>
      </c>
      <c r="L5">
        <f t="shared" si="1"/>
        <v>0</v>
      </c>
    </row>
    <row r="6" spans="1:12" x14ac:dyDescent="0.25">
      <c r="A6">
        <v>1754</v>
      </c>
      <c r="B6" t="s">
        <v>56</v>
      </c>
      <c r="C6" t="s">
        <v>66</v>
      </c>
      <c r="D6" t="s">
        <v>31</v>
      </c>
      <c r="J6">
        <f t="shared" si="0"/>
        <v>0</v>
      </c>
      <c r="L6">
        <f t="shared" si="1"/>
        <v>0</v>
      </c>
    </row>
    <row r="7" spans="1:12" x14ac:dyDescent="0.25">
      <c r="A7">
        <v>1754</v>
      </c>
      <c r="B7" t="s">
        <v>67</v>
      </c>
      <c r="C7" t="s">
        <v>66</v>
      </c>
      <c r="D7" t="s">
        <v>31</v>
      </c>
      <c r="J7">
        <f t="shared" si="0"/>
        <v>0</v>
      </c>
      <c r="L7">
        <f t="shared" si="1"/>
        <v>0</v>
      </c>
    </row>
    <row r="8" spans="1:12" x14ac:dyDescent="0.25">
      <c r="A8">
        <v>1754</v>
      </c>
      <c r="B8" t="s">
        <v>104</v>
      </c>
      <c r="C8" t="s">
        <v>66</v>
      </c>
      <c r="D8" t="s">
        <v>31</v>
      </c>
      <c r="H8">
        <v>3251</v>
      </c>
      <c r="J8">
        <f t="shared" si="0"/>
        <v>3251</v>
      </c>
      <c r="L8">
        <f t="shared" si="1"/>
        <v>1.4513392857142857</v>
      </c>
    </row>
    <row r="9" spans="1:12" x14ac:dyDescent="0.25">
      <c r="A9">
        <v>1754</v>
      </c>
      <c r="B9" t="s">
        <v>97</v>
      </c>
      <c r="C9" t="s">
        <v>66</v>
      </c>
      <c r="D9" t="s">
        <v>31</v>
      </c>
      <c r="J9">
        <f t="shared" si="0"/>
        <v>0</v>
      </c>
      <c r="L9">
        <f t="shared" si="1"/>
        <v>0</v>
      </c>
    </row>
    <row r="10" spans="1:12" x14ac:dyDescent="0.25">
      <c r="A10">
        <v>1754</v>
      </c>
      <c r="B10" t="s">
        <v>41</v>
      </c>
      <c r="C10" t="s">
        <v>66</v>
      </c>
      <c r="D10" t="s">
        <v>31</v>
      </c>
      <c r="J10">
        <f t="shared" si="0"/>
        <v>0</v>
      </c>
      <c r="L10">
        <f t="shared" si="1"/>
        <v>0</v>
      </c>
    </row>
    <row r="11" spans="1:12" x14ac:dyDescent="0.25">
      <c r="A11">
        <v>1754</v>
      </c>
      <c r="B11" t="s">
        <v>74</v>
      </c>
      <c r="C11" t="s">
        <v>66</v>
      </c>
      <c r="D11" t="s">
        <v>31</v>
      </c>
      <c r="J11">
        <f t="shared" si="0"/>
        <v>0</v>
      </c>
      <c r="L11">
        <f t="shared" si="1"/>
        <v>0</v>
      </c>
    </row>
    <row r="12" spans="1:12" x14ac:dyDescent="0.25">
      <c r="A12">
        <v>1754</v>
      </c>
      <c r="B12" t="s">
        <v>5</v>
      </c>
      <c r="C12" t="s">
        <v>66</v>
      </c>
      <c r="D12" t="s">
        <v>31</v>
      </c>
      <c r="F12">
        <v>4</v>
      </c>
      <c r="G12">
        <v>3</v>
      </c>
      <c r="H12">
        <v>9</v>
      </c>
      <c r="J12">
        <f t="shared" si="0"/>
        <v>541</v>
      </c>
      <c r="L12">
        <f t="shared" si="1"/>
        <v>0.24151785714285715</v>
      </c>
    </row>
    <row r="13" spans="1:12" x14ac:dyDescent="0.25">
      <c r="A13">
        <v>1754</v>
      </c>
      <c r="B13" t="s">
        <v>57</v>
      </c>
      <c r="C13" t="s">
        <v>66</v>
      </c>
      <c r="D13" t="s">
        <v>31</v>
      </c>
      <c r="J13">
        <f t="shared" si="0"/>
        <v>0</v>
      </c>
      <c r="L13">
        <f t="shared" si="1"/>
        <v>0</v>
      </c>
    </row>
    <row r="14" spans="1:12" x14ac:dyDescent="0.25">
      <c r="A14">
        <v>1754</v>
      </c>
      <c r="B14" t="s">
        <v>6</v>
      </c>
      <c r="C14" t="s">
        <v>66</v>
      </c>
      <c r="D14" t="s">
        <v>31</v>
      </c>
      <c r="F14">
        <v>267186</v>
      </c>
      <c r="H14">
        <v>6</v>
      </c>
      <c r="J14">
        <f t="shared" si="0"/>
        <v>29924838</v>
      </c>
      <c r="L14">
        <f t="shared" si="1"/>
        <v>13359.302678571428</v>
      </c>
    </row>
    <row r="15" spans="1:12" x14ac:dyDescent="0.25">
      <c r="A15">
        <v>1754</v>
      </c>
      <c r="B15" t="s">
        <v>92</v>
      </c>
      <c r="C15" t="s">
        <v>66</v>
      </c>
      <c r="D15" t="s">
        <v>31</v>
      </c>
      <c r="J15">
        <f t="shared" si="0"/>
        <v>0</v>
      </c>
      <c r="L15">
        <f t="shared" si="1"/>
        <v>0</v>
      </c>
    </row>
    <row r="16" spans="1:12" x14ac:dyDescent="0.25">
      <c r="A16">
        <v>1754</v>
      </c>
      <c r="B16" t="s">
        <v>58</v>
      </c>
      <c r="C16" t="s">
        <v>66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7</v>
      </c>
      <c r="C17" t="s">
        <v>66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35</v>
      </c>
      <c r="C18" t="s">
        <v>66</v>
      </c>
      <c r="D18" t="s">
        <v>31</v>
      </c>
      <c r="H18">
        <v>40</v>
      </c>
      <c r="J18">
        <f t="shared" si="0"/>
        <v>40</v>
      </c>
      <c r="L18">
        <f t="shared" si="1"/>
        <v>1.7857142857142856E-2</v>
      </c>
    </row>
    <row r="19" spans="1:12" x14ac:dyDescent="0.25">
      <c r="A19">
        <v>1754</v>
      </c>
      <c r="B19" t="s">
        <v>8</v>
      </c>
      <c r="C19" t="s">
        <v>66</v>
      </c>
      <c r="D19" t="s">
        <v>31</v>
      </c>
      <c r="F19">
        <v>176</v>
      </c>
      <c r="G19">
        <v>1</v>
      </c>
      <c r="H19">
        <v>18</v>
      </c>
      <c r="J19">
        <f t="shared" si="0"/>
        <v>19758</v>
      </c>
      <c r="L19">
        <f t="shared" si="1"/>
        <v>8.8205357142857146</v>
      </c>
    </row>
    <row r="20" spans="1:12" x14ac:dyDescent="0.25">
      <c r="A20">
        <v>1754</v>
      </c>
      <c r="B20" t="s">
        <v>38</v>
      </c>
      <c r="C20" t="s">
        <v>66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75</v>
      </c>
      <c r="C21" t="s">
        <v>66</v>
      </c>
      <c r="D21" t="s">
        <v>31</v>
      </c>
      <c r="F21">
        <v>702</v>
      </c>
      <c r="H21">
        <v>2</v>
      </c>
      <c r="J21">
        <f t="shared" si="0"/>
        <v>78626</v>
      </c>
      <c r="L21">
        <f t="shared" si="1"/>
        <v>35.10089285714286</v>
      </c>
    </row>
    <row r="22" spans="1:12" x14ac:dyDescent="0.25">
      <c r="A22">
        <v>1754</v>
      </c>
      <c r="B22" t="s">
        <v>76</v>
      </c>
      <c r="C22" t="s">
        <v>66</v>
      </c>
      <c r="D22" t="s">
        <v>31</v>
      </c>
      <c r="H22">
        <v>55983</v>
      </c>
      <c r="J22">
        <f t="shared" si="0"/>
        <v>55983</v>
      </c>
      <c r="L22">
        <f t="shared" si="1"/>
        <v>24.992410714285715</v>
      </c>
    </row>
    <row r="23" spans="1:12" x14ac:dyDescent="0.25">
      <c r="A23">
        <v>1754</v>
      </c>
      <c r="B23" t="s">
        <v>44</v>
      </c>
      <c r="C23" t="s">
        <v>66</v>
      </c>
      <c r="D23" t="s">
        <v>31</v>
      </c>
      <c r="H23">
        <v>784</v>
      </c>
      <c r="J23">
        <f t="shared" si="0"/>
        <v>784</v>
      </c>
      <c r="L23">
        <f t="shared" si="1"/>
        <v>0.35</v>
      </c>
    </row>
    <row r="24" spans="1:12" x14ac:dyDescent="0.25">
      <c r="A24">
        <v>1754</v>
      </c>
      <c r="B24" t="s">
        <v>9</v>
      </c>
      <c r="C24" t="s">
        <v>66</v>
      </c>
      <c r="D24" t="s">
        <v>31</v>
      </c>
      <c r="H24">
        <f>1078*200</f>
        <v>215600</v>
      </c>
      <c r="I24" t="s">
        <v>128</v>
      </c>
      <c r="J24">
        <f t="shared" si="0"/>
        <v>215600</v>
      </c>
      <c r="L24">
        <f t="shared" si="1"/>
        <v>96.25</v>
      </c>
    </row>
    <row r="25" spans="1:12" x14ac:dyDescent="0.25">
      <c r="A25">
        <v>1754</v>
      </c>
      <c r="B25" t="s">
        <v>10</v>
      </c>
      <c r="C25" t="s">
        <v>66</v>
      </c>
      <c r="D25" t="s">
        <v>31</v>
      </c>
      <c r="F25">
        <v>4732</v>
      </c>
      <c r="G25">
        <v>2</v>
      </c>
      <c r="H25">
        <v>2</v>
      </c>
      <c r="J25">
        <f t="shared" si="0"/>
        <v>530042</v>
      </c>
      <c r="L25">
        <f t="shared" si="1"/>
        <v>236.62589285714284</v>
      </c>
    </row>
    <row r="26" spans="1:12" x14ac:dyDescent="0.25">
      <c r="A26">
        <v>1754</v>
      </c>
      <c r="B26" t="s">
        <v>11</v>
      </c>
      <c r="C26" t="s">
        <v>66</v>
      </c>
      <c r="D26" t="s">
        <v>31</v>
      </c>
      <c r="F26">
        <v>140</v>
      </c>
      <c r="G26">
        <v>2</v>
      </c>
      <c r="H26">
        <v>14</v>
      </c>
      <c r="J26">
        <f t="shared" si="0"/>
        <v>15750</v>
      </c>
      <c r="L26">
        <f t="shared" si="1"/>
        <v>7.03125</v>
      </c>
    </row>
    <row r="27" spans="1:12" x14ac:dyDescent="0.25">
      <c r="A27">
        <v>1754</v>
      </c>
      <c r="B27" t="s">
        <v>37</v>
      </c>
      <c r="C27" t="s">
        <v>66</v>
      </c>
      <c r="D27" t="s">
        <v>31</v>
      </c>
      <c r="H27">
        <v>499</v>
      </c>
      <c r="J27">
        <f t="shared" si="0"/>
        <v>499</v>
      </c>
      <c r="L27">
        <f t="shared" si="1"/>
        <v>0.22276785714285716</v>
      </c>
    </row>
    <row r="28" spans="1:12" x14ac:dyDescent="0.25">
      <c r="A28">
        <v>1754</v>
      </c>
      <c r="B28" t="s">
        <v>77</v>
      </c>
      <c r="C28" t="s">
        <v>66</v>
      </c>
      <c r="D28" t="s">
        <v>31</v>
      </c>
      <c r="H28">
        <v>618</v>
      </c>
      <c r="J28">
        <f t="shared" si="0"/>
        <v>618</v>
      </c>
      <c r="L28">
        <f t="shared" si="1"/>
        <v>0.27589285714285716</v>
      </c>
    </row>
    <row r="29" spans="1:12" x14ac:dyDescent="0.25">
      <c r="A29">
        <v>1754</v>
      </c>
      <c r="B29" t="s">
        <v>99</v>
      </c>
      <c r="C29" t="s">
        <v>66</v>
      </c>
      <c r="D29" t="s">
        <v>31</v>
      </c>
      <c r="H29">
        <v>4663</v>
      </c>
      <c r="J29">
        <f t="shared" si="0"/>
        <v>4663</v>
      </c>
      <c r="L29">
        <f t="shared" si="1"/>
        <v>2.0816964285714286</v>
      </c>
    </row>
    <row r="30" spans="1:12" x14ac:dyDescent="0.25">
      <c r="A30">
        <v>1754</v>
      </c>
      <c r="B30" t="s">
        <v>42</v>
      </c>
      <c r="C30" t="s">
        <v>66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93</v>
      </c>
      <c r="C31" t="s">
        <v>66</v>
      </c>
      <c r="D31" t="s">
        <v>31</v>
      </c>
      <c r="H31">
        <v>3</v>
      </c>
      <c r="J31">
        <f t="shared" si="0"/>
        <v>3</v>
      </c>
      <c r="L31">
        <f t="shared" si="1"/>
        <v>1.3392857142857143E-3</v>
      </c>
    </row>
    <row r="32" spans="1:12" x14ac:dyDescent="0.25">
      <c r="A32">
        <v>1754</v>
      </c>
      <c r="B32" t="s">
        <v>12</v>
      </c>
      <c r="C32" t="s">
        <v>66</v>
      </c>
      <c r="D32" t="s">
        <v>31</v>
      </c>
      <c r="H32">
        <v>7954</v>
      </c>
      <c r="J32">
        <f t="shared" si="0"/>
        <v>7954</v>
      </c>
      <c r="L32">
        <f t="shared" si="1"/>
        <v>3.5508928571428573</v>
      </c>
    </row>
    <row r="33" spans="1:12" x14ac:dyDescent="0.25">
      <c r="A33">
        <v>1754</v>
      </c>
      <c r="B33" t="s">
        <v>103</v>
      </c>
      <c r="C33" t="s">
        <v>66</v>
      </c>
      <c r="D33" t="s">
        <v>31</v>
      </c>
      <c r="J33">
        <f t="shared" si="0"/>
        <v>0</v>
      </c>
      <c r="L33">
        <f t="shared" si="1"/>
        <v>0</v>
      </c>
    </row>
    <row r="34" spans="1:12" x14ac:dyDescent="0.25">
      <c r="A34">
        <v>1754</v>
      </c>
      <c r="B34" t="s">
        <v>32</v>
      </c>
      <c r="C34" t="s">
        <v>66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13</v>
      </c>
      <c r="C35" t="s">
        <v>66</v>
      </c>
      <c r="D35" t="s">
        <v>31</v>
      </c>
      <c r="E35">
        <v>115</v>
      </c>
      <c r="F35">
        <v>10</v>
      </c>
      <c r="J35">
        <f t="shared" si="0"/>
        <v>258720</v>
      </c>
      <c r="L35">
        <f t="shared" si="1"/>
        <v>115.5</v>
      </c>
    </row>
    <row r="36" spans="1:12" x14ac:dyDescent="0.25">
      <c r="A36">
        <v>1754</v>
      </c>
      <c r="B36" t="s">
        <v>14</v>
      </c>
      <c r="C36" t="s">
        <v>66</v>
      </c>
      <c r="D36" t="s">
        <v>31</v>
      </c>
      <c r="H36">
        <v>4001</v>
      </c>
      <c r="I36" t="s">
        <v>121</v>
      </c>
      <c r="J36">
        <f t="shared" si="0"/>
        <v>4001</v>
      </c>
      <c r="L36">
        <f t="shared" si="1"/>
        <v>1.7861607142857143</v>
      </c>
    </row>
    <row r="37" spans="1:12" x14ac:dyDescent="0.25">
      <c r="A37">
        <v>1754</v>
      </c>
      <c r="B37" t="s">
        <v>23</v>
      </c>
      <c r="C37" t="s">
        <v>66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25</v>
      </c>
      <c r="C38" t="s">
        <v>66</v>
      </c>
      <c r="D38" t="s">
        <v>31</v>
      </c>
      <c r="H38">
        <v>176495.5</v>
      </c>
      <c r="I38" t="s">
        <v>124</v>
      </c>
      <c r="J38">
        <f t="shared" si="0"/>
        <v>176495.5</v>
      </c>
      <c r="L38">
        <f t="shared" si="1"/>
        <v>78.792633928571433</v>
      </c>
    </row>
    <row r="39" spans="1:12" x14ac:dyDescent="0.25">
      <c r="A39">
        <v>1754</v>
      </c>
      <c r="B39" t="s">
        <v>15</v>
      </c>
      <c r="C39" t="s">
        <v>66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40</v>
      </c>
      <c r="C40" t="s">
        <v>66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80</v>
      </c>
      <c r="C41" t="s">
        <v>66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45</v>
      </c>
      <c r="C42" t="s">
        <v>66</v>
      </c>
      <c r="D42" t="s">
        <v>31</v>
      </c>
      <c r="H42">
        <v>150</v>
      </c>
      <c r="I42" t="s">
        <v>122</v>
      </c>
      <c r="J42">
        <f t="shared" si="0"/>
        <v>150</v>
      </c>
      <c r="L42">
        <f t="shared" si="1"/>
        <v>6.6964285714285712E-2</v>
      </c>
    </row>
    <row r="43" spans="1:12" x14ac:dyDescent="0.25">
      <c r="A43">
        <v>1754</v>
      </c>
      <c r="B43" t="s">
        <v>16</v>
      </c>
      <c r="C43" t="s">
        <v>66</v>
      </c>
      <c r="D43" t="s">
        <v>31</v>
      </c>
      <c r="H43">
        <v>521526</v>
      </c>
      <c r="J43">
        <f t="shared" si="0"/>
        <v>521526</v>
      </c>
      <c r="L43">
        <f t="shared" si="1"/>
        <v>232.82410714285714</v>
      </c>
    </row>
    <row r="44" spans="1:12" x14ac:dyDescent="0.25">
      <c r="A44">
        <v>1754</v>
      </c>
      <c r="B44" t="s">
        <v>125</v>
      </c>
      <c r="C44" t="s">
        <v>66</v>
      </c>
      <c r="D44" t="s">
        <v>31</v>
      </c>
      <c r="H44">
        <v>820</v>
      </c>
      <c r="I44" t="s">
        <v>126</v>
      </c>
      <c r="J44">
        <f t="shared" si="0"/>
        <v>820</v>
      </c>
      <c r="L44">
        <f t="shared" si="1"/>
        <v>0.36607142857142855</v>
      </c>
    </row>
    <row r="45" spans="1:12" x14ac:dyDescent="0.25">
      <c r="A45">
        <v>1754</v>
      </c>
      <c r="B45" t="s">
        <v>17</v>
      </c>
      <c r="C45" t="s">
        <v>66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18</v>
      </c>
      <c r="C46" t="s">
        <v>66</v>
      </c>
      <c r="D46" t="s">
        <v>31</v>
      </c>
      <c r="H46">
        <v>6363199.5</v>
      </c>
      <c r="I46" t="s">
        <v>123</v>
      </c>
      <c r="J46">
        <f t="shared" si="0"/>
        <v>6363199.5</v>
      </c>
      <c r="L46">
        <f t="shared" si="1"/>
        <v>2840.7140625000002</v>
      </c>
    </row>
    <row r="47" spans="1:12" x14ac:dyDescent="0.25">
      <c r="A47">
        <v>1754</v>
      </c>
      <c r="B47" t="s">
        <v>24</v>
      </c>
      <c r="C47" t="s">
        <v>66</v>
      </c>
      <c r="D47" t="s">
        <v>31</v>
      </c>
      <c r="H47">
        <v>25984</v>
      </c>
      <c r="J47">
        <f t="shared" si="0"/>
        <v>25984</v>
      </c>
      <c r="L47">
        <f t="shared" si="1"/>
        <v>11.6</v>
      </c>
    </row>
    <row r="48" spans="1:12" x14ac:dyDescent="0.25">
      <c r="A48">
        <v>1754</v>
      </c>
      <c r="B48" t="s">
        <v>81</v>
      </c>
      <c r="C48" t="s">
        <v>66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19</v>
      </c>
      <c r="C49" t="s">
        <v>66</v>
      </c>
      <c r="D49" t="s">
        <v>31</v>
      </c>
      <c r="J49">
        <f t="shared" si="0"/>
        <v>0</v>
      </c>
      <c r="L49">
        <f t="shared" si="1"/>
        <v>0</v>
      </c>
    </row>
    <row r="50" spans="1:12" x14ac:dyDescent="0.25">
      <c r="A50">
        <v>1754</v>
      </c>
      <c r="B50" t="s">
        <v>43</v>
      </c>
      <c r="C50" t="s">
        <v>66</v>
      </c>
      <c r="D50" t="s">
        <v>31</v>
      </c>
      <c r="H50">
        <v>1716</v>
      </c>
      <c r="J50">
        <f t="shared" si="0"/>
        <v>1716</v>
      </c>
      <c r="L50">
        <f t="shared" si="1"/>
        <v>0.76607142857142863</v>
      </c>
    </row>
    <row r="51" spans="1:12" x14ac:dyDescent="0.25">
      <c r="A51">
        <v>1754</v>
      </c>
      <c r="B51" t="s">
        <v>82</v>
      </c>
      <c r="C51" t="s">
        <v>66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52</v>
      </c>
      <c r="C52" t="s">
        <v>66</v>
      </c>
      <c r="D52" t="s">
        <v>31</v>
      </c>
      <c r="H52">
        <v>1473</v>
      </c>
      <c r="J52">
        <f t="shared" si="0"/>
        <v>1473</v>
      </c>
      <c r="L52">
        <f t="shared" si="1"/>
        <v>0.65758928571428577</v>
      </c>
    </row>
    <row r="53" spans="1:12" x14ac:dyDescent="0.25">
      <c r="A53">
        <v>1754</v>
      </c>
      <c r="B53" t="s">
        <v>91</v>
      </c>
      <c r="C53" t="s">
        <v>66</v>
      </c>
      <c r="D53" t="s">
        <v>31</v>
      </c>
      <c r="H53">
        <v>1304</v>
      </c>
      <c r="J53">
        <f t="shared" si="0"/>
        <v>1304</v>
      </c>
      <c r="L53">
        <f t="shared" si="1"/>
        <v>0.58214285714285718</v>
      </c>
    </row>
    <row r="54" spans="1:12" x14ac:dyDescent="0.25">
      <c r="A54">
        <v>1754</v>
      </c>
      <c r="B54" t="s">
        <v>20</v>
      </c>
      <c r="C54" t="s">
        <v>66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21</v>
      </c>
      <c r="C55" t="s">
        <v>66</v>
      </c>
      <c r="D55" t="s">
        <v>31</v>
      </c>
      <c r="H55">
        <v>3868</v>
      </c>
      <c r="J55">
        <f t="shared" si="0"/>
        <v>3868</v>
      </c>
      <c r="L55">
        <f t="shared" si="1"/>
        <v>1.7267857142857144</v>
      </c>
    </row>
    <row r="56" spans="1:12" x14ac:dyDescent="0.25">
      <c r="A56">
        <v>1754</v>
      </c>
      <c r="B56" t="s">
        <v>87</v>
      </c>
      <c r="C56" t="s">
        <v>66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22</v>
      </c>
      <c r="C57" t="s">
        <v>66</v>
      </c>
      <c r="D57" t="s">
        <v>31</v>
      </c>
      <c r="J57">
        <f t="shared" si="0"/>
        <v>0</v>
      </c>
      <c r="L57">
        <f t="shared" si="1"/>
        <v>0</v>
      </c>
    </row>
    <row r="58" spans="1:12" x14ac:dyDescent="0.25">
      <c r="A58">
        <v>1754</v>
      </c>
      <c r="B58" t="s">
        <v>59</v>
      </c>
      <c r="C58" t="s">
        <v>66</v>
      </c>
      <c r="D58" t="s">
        <v>31</v>
      </c>
      <c r="E58">
        <v>61</v>
      </c>
      <c r="J58">
        <f t="shared" si="0"/>
        <v>136640</v>
      </c>
      <c r="L58">
        <f t="shared" si="1"/>
        <v>61</v>
      </c>
    </row>
    <row r="59" spans="1:12" x14ac:dyDescent="0.25">
      <c r="A59">
        <v>1754</v>
      </c>
      <c r="B59" t="s">
        <v>94</v>
      </c>
      <c r="C59" t="s">
        <v>66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84</v>
      </c>
      <c r="C60" t="s">
        <v>66</v>
      </c>
      <c r="D60" t="s">
        <v>31</v>
      </c>
      <c r="E60">
        <v>69</v>
      </c>
      <c r="F60">
        <v>10</v>
      </c>
      <c r="J60">
        <f t="shared" si="0"/>
        <v>155680</v>
      </c>
      <c r="L60">
        <f t="shared" si="1"/>
        <v>69.5</v>
      </c>
    </row>
    <row r="61" spans="1:12" x14ac:dyDescent="0.25">
      <c r="A61">
        <v>1754</v>
      </c>
      <c r="B61" t="s">
        <v>60</v>
      </c>
      <c r="C61" t="s">
        <v>66</v>
      </c>
      <c r="D61" t="s">
        <v>31</v>
      </c>
      <c r="E61">
        <v>1099</v>
      </c>
      <c r="G61">
        <v>2</v>
      </c>
      <c r="H61">
        <v>14</v>
      </c>
      <c r="J61">
        <f t="shared" si="0"/>
        <v>2461830</v>
      </c>
      <c r="L61">
        <f t="shared" si="1"/>
        <v>1099.03125</v>
      </c>
    </row>
    <row r="62" spans="1:12" x14ac:dyDescent="0.25">
      <c r="A62">
        <v>1754</v>
      </c>
      <c r="B62" t="s">
        <v>85</v>
      </c>
      <c r="C62" t="s">
        <v>66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61</v>
      </c>
      <c r="C63" t="s">
        <v>66</v>
      </c>
      <c r="D63" t="s">
        <v>31</v>
      </c>
      <c r="E63">
        <v>1378</v>
      </c>
      <c r="F63">
        <v>10</v>
      </c>
      <c r="G63">
        <v>3</v>
      </c>
      <c r="H63">
        <v>14</v>
      </c>
      <c r="J63">
        <f t="shared" si="0"/>
        <v>3087938</v>
      </c>
      <c r="L63">
        <f t="shared" si="1"/>
        <v>1378.54375</v>
      </c>
    </row>
    <row r="64" spans="1:12" x14ac:dyDescent="0.25">
      <c r="A64">
        <v>1754</v>
      </c>
      <c r="B64" t="s">
        <v>86</v>
      </c>
      <c r="C64" t="s">
        <v>66</v>
      </c>
      <c r="D64" t="s">
        <v>31</v>
      </c>
      <c r="E64">
        <v>1951</v>
      </c>
      <c r="F64">
        <v>13</v>
      </c>
      <c r="H64">
        <v>34020</v>
      </c>
      <c r="J64">
        <f t="shared" si="0"/>
        <v>4405716</v>
      </c>
      <c r="L64">
        <f t="shared" si="1"/>
        <v>1966.8375000000001</v>
      </c>
    </row>
    <row r="65" spans="1:12" x14ac:dyDescent="0.25">
      <c r="A65">
        <v>1754</v>
      </c>
      <c r="B65" t="s">
        <v>68</v>
      </c>
      <c r="C65" t="s">
        <v>66</v>
      </c>
      <c r="D65" t="s">
        <v>31</v>
      </c>
      <c r="E65">
        <v>352</v>
      </c>
      <c r="F65">
        <v>2</v>
      </c>
      <c r="G65">
        <v>1</v>
      </c>
      <c r="H65">
        <v>20</v>
      </c>
      <c r="J65">
        <f t="shared" si="0"/>
        <v>788752</v>
      </c>
      <c r="L65">
        <f t="shared" si="1"/>
        <v>352.12142857142857</v>
      </c>
    </row>
    <row r="66" spans="1:12" x14ac:dyDescent="0.25">
      <c r="A66">
        <v>1754</v>
      </c>
      <c r="B66" t="s">
        <v>62</v>
      </c>
      <c r="C66" t="s">
        <v>66</v>
      </c>
      <c r="D66" t="s">
        <v>31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127</v>
      </c>
      <c r="C67" t="s">
        <v>66</v>
      </c>
      <c r="D67" t="s">
        <v>31</v>
      </c>
      <c r="E67">
        <v>1</v>
      </c>
      <c r="J67">
        <f t="shared" si="0"/>
        <v>2240</v>
      </c>
      <c r="L67">
        <f t="shared" si="1"/>
        <v>1</v>
      </c>
    </row>
    <row r="68" spans="1:12" x14ac:dyDescent="0.25">
      <c r="A68">
        <v>1754</v>
      </c>
      <c r="B68" t="s">
        <v>53</v>
      </c>
      <c r="C68" t="s">
        <v>66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1754</v>
      </c>
      <c r="B69" t="s">
        <v>55</v>
      </c>
      <c r="C69" t="s">
        <v>66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1754</v>
      </c>
      <c r="B70" t="s">
        <v>34</v>
      </c>
      <c r="C70" t="s">
        <v>66</v>
      </c>
      <c r="D70" t="s">
        <v>33</v>
      </c>
      <c r="J70">
        <f t="shared" si="0"/>
        <v>0</v>
      </c>
      <c r="L70">
        <f t="shared" si="1"/>
        <v>0</v>
      </c>
    </row>
    <row r="71" spans="1:12" x14ac:dyDescent="0.25">
      <c r="A71">
        <v>1754</v>
      </c>
      <c r="B71" t="s">
        <v>4</v>
      </c>
      <c r="C71" t="s">
        <v>66</v>
      </c>
      <c r="D71" t="s">
        <v>33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1754</v>
      </c>
      <c r="B72" t="s">
        <v>56</v>
      </c>
      <c r="C72" t="s">
        <v>66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67</v>
      </c>
      <c r="C73" t="s">
        <v>66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97</v>
      </c>
      <c r="C74" t="s">
        <v>66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>
        <v>1754</v>
      </c>
      <c r="B75" t="s">
        <v>41</v>
      </c>
      <c r="C75" t="s">
        <v>66</v>
      </c>
      <c r="D75" t="s">
        <v>33</v>
      </c>
      <c r="J75">
        <f t="shared" si="2"/>
        <v>0</v>
      </c>
      <c r="L75">
        <f t="shared" si="3"/>
        <v>0</v>
      </c>
    </row>
    <row r="76" spans="1:12" x14ac:dyDescent="0.25">
      <c r="A76">
        <v>1754</v>
      </c>
      <c r="B76" t="s">
        <v>74</v>
      </c>
      <c r="C76" t="s">
        <v>66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5</v>
      </c>
      <c r="C77" t="s">
        <v>66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57</v>
      </c>
      <c r="C78" t="s">
        <v>66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6</v>
      </c>
      <c r="C79" t="s">
        <v>66</v>
      </c>
      <c r="D79" t="s">
        <v>33</v>
      </c>
      <c r="F79">
        <v>200731</v>
      </c>
      <c r="G79">
        <v>2</v>
      </c>
      <c r="J79">
        <f t="shared" si="2"/>
        <v>22481928</v>
      </c>
      <c r="L79">
        <f t="shared" si="3"/>
        <v>10036.575000000001</v>
      </c>
    </row>
    <row r="80" spans="1:12" x14ac:dyDescent="0.25">
      <c r="A80">
        <v>1754</v>
      </c>
      <c r="B80" t="s">
        <v>58</v>
      </c>
      <c r="C80" t="s">
        <v>66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36</v>
      </c>
      <c r="C81" t="s">
        <v>66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35</v>
      </c>
      <c r="C82" t="s">
        <v>66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8</v>
      </c>
      <c r="C83" t="s">
        <v>66</v>
      </c>
      <c r="D83" t="s">
        <v>33</v>
      </c>
      <c r="J83">
        <f t="shared" si="2"/>
        <v>0</v>
      </c>
      <c r="L83">
        <f t="shared" si="3"/>
        <v>0</v>
      </c>
    </row>
    <row r="84" spans="1:12" x14ac:dyDescent="0.25">
      <c r="A84">
        <v>1754</v>
      </c>
      <c r="B84" t="s">
        <v>38</v>
      </c>
      <c r="C84" t="s">
        <v>66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>
        <v>1754</v>
      </c>
      <c r="B85" t="s">
        <v>75</v>
      </c>
      <c r="C85" t="s">
        <v>66</v>
      </c>
      <c r="D85" t="s">
        <v>33</v>
      </c>
      <c r="F85">
        <v>31</v>
      </c>
      <c r="G85">
        <v>3</v>
      </c>
      <c r="H85">
        <v>20</v>
      </c>
      <c r="J85">
        <f t="shared" si="2"/>
        <v>3576</v>
      </c>
      <c r="L85">
        <f t="shared" si="3"/>
        <v>1.5964285714285715</v>
      </c>
    </row>
    <row r="86" spans="1:12" x14ac:dyDescent="0.25">
      <c r="A86">
        <v>1754</v>
      </c>
      <c r="B86" t="s">
        <v>76</v>
      </c>
      <c r="C86" t="s">
        <v>66</v>
      </c>
      <c r="D86" t="s">
        <v>33</v>
      </c>
      <c r="H86">
        <v>193</v>
      </c>
      <c r="J86">
        <f t="shared" si="2"/>
        <v>193</v>
      </c>
      <c r="L86">
        <f t="shared" si="3"/>
        <v>8.6160714285714285E-2</v>
      </c>
    </row>
    <row r="87" spans="1:12" x14ac:dyDescent="0.25">
      <c r="A87">
        <v>1754</v>
      </c>
      <c r="B87" t="s">
        <v>44</v>
      </c>
      <c r="C87" t="s">
        <v>66</v>
      </c>
      <c r="D87" t="s">
        <v>33</v>
      </c>
      <c r="H87">
        <v>282</v>
      </c>
      <c r="J87">
        <f t="shared" si="2"/>
        <v>282</v>
      </c>
      <c r="L87">
        <f t="shared" si="3"/>
        <v>0.12589285714285714</v>
      </c>
    </row>
    <row r="88" spans="1:12" x14ac:dyDescent="0.25">
      <c r="A88">
        <v>1754</v>
      </c>
      <c r="B88" t="s">
        <v>9</v>
      </c>
      <c r="C88" t="s">
        <v>66</v>
      </c>
      <c r="D88" t="s">
        <v>33</v>
      </c>
      <c r="H88">
        <f>1682*200</f>
        <v>336400</v>
      </c>
      <c r="I88" t="s">
        <v>155</v>
      </c>
      <c r="J88">
        <f t="shared" si="2"/>
        <v>336400</v>
      </c>
      <c r="L88">
        <f t="shared" si="3"/>
        <v>150.17857142857142</v>
      </c>
    </row>
    <row r="89" spans="1:12" x14ac:dyDescent="0.25">
      <c r="A89">
        <v>1754</v>
      </c>
      <c r="B89" t="s">
        <v>10</v>
      </c>
      <c r="C89" t="s">
        <v>66</v>
      </c>
      <c r="D89" t="s">
        <v>33</v>
      </c>
      <c r="F89">
        <v>4659</v>
      </c>
      <c r="G89">
        <v>1</v>
      </c>
      <c r="H89">
        <v>23</v>
      </c>
      <c r="J89">
        <f t="shared" si="2"/>
        <v>521859</v>
      </c>
      <c r="L89">
        <f t="shared" si="3"/>
        <v>232.97276785714286</v>
      </c>
    </row>
    <row r="90" spans="1:12" x14ac:dyDescent="0.25">
      <c r="A90">
        <v>1754</v>
      </c>
      <c r="B90" t="s">
        <v>11</v>
      </c>
      <c r="C90" t="s">
        <v>66</v>
      </c>
      <c r="D90" t="s">
        <v>33</v>
      </c>
      <c r="F90">
        <v>230</v>
      </c>
      <c r="G90">
        <v>3</v>
      </c>
      <c r="H90">
        <v>23</v>
      </c>
      <c r="J90">
        <f t="shared" si="2"/>
        <v>25867</v>
      </c>
      <c r="L90">
        <f t="shared" si="3"/>
        <v>11.547767857142857</v>
      </c>
    </row>
    <row r="91" spans="1:12" x14ac:dyDescent="0.25">
      <c r="A91">
        <v>1754</v>
      </c>
      <c r="B91" t="s">
        <v>37</v>
      </c>
      <c r="C91" t="s">
        <v>66</v>
      </c>
      <c r="D91" t="s">
        <v>33</v>
      </c>
      <c r="H91">
        <v>36</v>
      </c>
      <c r="J91">
        <f t="shared" si="2"/>
        <v>36</v>
      </c>
      <c r="L91">
        <f t="shared" si="3"/>
        <v>1.607142857142857E-2</v>
      </c>
    </row>
    <row r="92" spans="1:12" x14ac:dyDescent="0.25">
      <c r="A92">
        <v>1754</v>
      </c>
      <c r="B92" t="s">
        <v>77</v>
      </c>
      <c r="C92" t="s">
        <v>66</v>
      </c>
      <c r="D92" t="s">
        <v>33</v>
      </c>
      <c r="H92">
        <v>3675</v>
      </c>
      <c r="J92">
        <f t="shared" si="2"/>
        <v>3675</v>
      </c>
      <c r="L92">
        <f t="shared" si="3"/>
        <v>1.640625</v>
      </c>
    </row>
    <row r="93" spans="1:12" x14ac:dyDescent="0.25">
      <c r="A93">
        <v>1754</v>
      </c>
      <c r="B93" t="s">
        <v>99</v>
      </c>
      <c r="C93" t="s">
        <v>66</v>
      </c>
      <c r="D93" t="s">
        <v>33</v>
      </c>
      <c r="H93">
        <v>394</v>
      </c>
      <c r="J93">
        <f t="shared" si="2"/>
        <v>394</v>
      </c>
      <c r="L93">
        <f t="shared" si="3"/>
        <v>0.17589285714285716</v>
      </c>
    </row>
    <row r="94" spans="1:12" x14ac:dyDescent="0.25">
      <c r="A94">
        <v>1754</v>
      </c>
      <c r="B94" t="s">
        <v>42</v>
      </c>
      <c r="C94" t="s">
        <v>66</v>
      </c>
      <c r="D94" t="s">
        <v>33</v>
      </c>
      <c r="J94">
        <f t="shared" si="2"/>
        <v>0</v>
      </c>
      <c r="L94">
        <f t="shared" si="3"/>
        <v>0</v>
      </c>
    </row>
    <row r="95" spans="1:12" x14ac:dyDescent="0.25">
      <c r="A95">
        <v>1754</v>
      </c>
      <c r="B95" t="s">
        <v>93</v>
      </c>
      <c r="C95" t="s">
        <v>66</v>
      </c>
      <c r="D95" t="s">
        <v>33</v>
      </c>
      <c r="J95">
        <f t="shared" si="2"/>
        <v>0</v>
      </c>
      <c r="L95">
        <f t="shared" si="3"/>
        <v>0</v>
      </c>
    </row>
    <row r="96" spans="1:12" x14ac:dyDescent="0.25">
      <c r="A96">
        <v>1754</v>
      </c>
      <c r="B96" t="s">
        <v>12</v>
      </c>
      <c r="C96" t="s">
        <v>66</v>
      </c>
      <c r="D96" t="s">
        <v>33</v>
      </c>
      <c r="H96">
        <v>5873</v>
      </c>
      <c r="J96">
        <f t="shared" si="2"/>
        <v>5873</v>
      </c>
      <c r="L96">
        <f t="shared" si="3"/>
        <v>2.6218750000000002</v>
      </c>
    </row>
    <row r="97" spans="1:12" x14ac:dyDescent="0.25">
      <c r="A97">
        <v>1754</v>
      </c>
      <c r="B97" t="s">
        <v>103</v>
      </c>
      <c r="C97" t="s">
        <v>66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32</v>
      </c>
      <c r="C98" t="s">
        <v>66</v>
      </c>
      <c r="D98" t="s">
        <v>33</v>
      </c>
      <c r="J98">
        <f t="shared" si="2"/>
        <v>0</v>
      </c>
      <c r="L98">
        <f t="shared" si="3"/>
        <v>0</v>
      </c>
    </row>
    <row r="99" spans="1:12" x14ac:dyDescent="0.25">
      <c r="A99">
        <v>1754</v>
      </c>
      <c r="B99" t="s">
        <v>13</v>
      </c>
      <c r="C99" t="s">
        <v>66</v>
      </c>
      <c r="D99" t="s">
        <v>33</v>
      </c>
      <c r="E99">
        <v>96</v>
      </c>
      <c r="F99">
        <v>18</v>
      </c>
      <c r="G99">
        <v>3</v>
      </c>
      <c r="H99">
        <v>5</v>
      </c>
      <c r="J99">
        <f t="shared" si="2"/>
        <v>217145</v>
      </c>
      <c r="L99">
        <f t="shared" si="3"/>
        <v>96.939732142857139</v>
      </c>
    </row>
    <row r="100" spans="1:12" x14ac:dyDescent="0.25">
      <c r="A100">
        <v>1754</v>
      </c>
      <c r="B100" t="s">
        <v>14</v>
      </c>
      <c r="C100" t="s">
        <v>66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23</v>
      </c>
      <c r="C101" t="s">
        <v>66</v>
      </c>
      <c r="D101" t="s">
        <v>33</v>
      </c>
      <c r="J101">
        <f t="shared" si="2"/>
        <v>0</v>
      </c>
      <c r="L101">
        <f t="shared" si="3"/>
        <v>0</v>
      </c>
    </row>
    <row r="102" spans="1:12" x14ac:dyDescent="0.25">
      <c r="A102">
        <v>1754</v>
      </c>
      <c r="B102" t="s">
        <v>25</v>
      </c>
      <c r="C102" t="s">
        <v>66</v>
      </c>
      <c r="D102" t="s">
        <v>33</v>
      </c>
      <c r="H102">
        <v>77810</v>
      </c>
      <c r="I102" t="s">
        <v>154</v>
      </c>
      <c r="J102">
        <f t="shared" si="2"/>
        <v>77810</v>
      </c>
      <c r="L102">
        <f t="shared" si="3"/>
        <v>34.736607142857146</v>
      </c>
    </row>
    <row r="103" spans="1:12" x14ac:dyDescent="0.25">
      <c r="A103">
        <v>1754</v>
      </c>
      <c r="B103" t="s">
        <v>15</v>
      </c>
      <c r="C103" t="s">
        <v>66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89</v>
      </c>
      <c r="C104" t="s">
        <v>66</v>
      </c>
      <c r="D104" t="s">
        <v>33</v>
      </c>
      <c r="J104">
        <f t="shared" si="2"/>
        <v>0</v>
      </c>
      <c r="L104">
        <f t="shared" si="3"/>
        <v>0</v>
      </c>
    </row>
    <row r="105" spans="1:12" x14ac:dyDescent="0.25">
      <c r="A105">
        <v>1754</v>
      </c>
      <c r="B105" t="s">
        <v>40</v>
      </c>
      <c r="C105" t="s">
        <v>66</v>
      </c>
      <c r="D105" t="s">
        <v>33</v>
      </c>
      <c r="J105">
        <f t="shared" si="2"/>
        <v>0</v>
      </c>
      <c r="L105">
        <f t="shared" si="3"/>
        <v>0</v>
      </c>
    </row>
    <row r="106" spans="1:12" x14ac:dyDescent="0.25">
      <c r="A106">
        <v>1754</v>
      </c>
      <c r="B106" t="s">
        <v>80</v>
      </c>
      <c r="C106" t="s">
        <v>66</v>
      </c>
      <c r="D106" t="s">
        <v>33</v>
      </c>
      <c r="J106">
        <f t="shared" si="2"/>
        <v>0</v>
      </c>
      <c r="L106">
        <f t="shared" si="3"/>
        <v>0</v>
      </c>
    </row>
    <row r="107" spans="1:12" x14ac:dyDescent="0.25">
      <c r="A107">
        <v>1754</v>
      </c>
      <c r="B107" t="s">
        <v>45</v>
      </c>
      <c r="C107" t="s">
        <v>66</v>
      </c>
      <c r="D107" t="s">
        <v>33</v>
      </c>
      <c r="H107">
        <v>190</v>
      </c>
      <c r="I107" t="s">
        <v>152</v>
      </c>
      <c r="J107">
        <f t="shared" si="2"/>
        <v>190</v>
      </c>
      <c r="L107">
        <f t="shared" si="3"/>
        <v>8.4821428571428575E-2</v>
      </c>
    </row>
    <row r="108" spans="1:12" x14ac:dyDescent="0.25">
      <c r="A108">
        <v>1754</v>
      </c>
      <c r="B108" t="s">
        <v>16</v>
      </c>
      <c r="C108" t="s">
        <v>66</v>
      </c>
      <c r="D108" t="s">
        <v>33</v>
      </c>
      <c r="H108">
        <v>236729</v>
      </c>
      <c r="J108">
        <f t="shared" si="2"/>
        <v>236729</v>
      </c>
      <c r="L108">
        <f t="shared" si="3"/>
        <v>105.68258928571429</v>
      </c>
    </row>
    <row r="109" spans="1:12" x14ac:dyDescent="0.25">
      <c r="A109">
        <v>1754</v>
      </c>
      <c r="B109" t="s">
        <v>17</v>
      </c>
      <c r="C109" t="s">
        <v>66</v>
      </c>
      <c r="D109" t="s">
        <v>33</v>
      </c>
      <c r="J109">
        <f t="shared" si="2"/>
        <v>0</v>
      </c>
      <c r="L109">
        <f t="shared" si="3"/>
        <v>0</v>
      </c>
    </row>
    <row r="110" spans="1:12" x14ac:dyDescent="0.25">
      <c r="A110">
        <v>1754</v>
      </c>
      <c r="B110" t="s">
        <v>18</v>
      </c>
      <c r="C110" t="s">
        <v>66</v>
      </c>
      <c r="D110" t="s">
        <v>33</v>
      </c>
      <c r="H110">
        <v>1705408</v>
      </c>
      <c r="I110" t="s">
        <v>153</v>
      </c>
      <c r="J110">
        <f t="shared" si="2"/>
        <v>1705408</v>
      </c>
      <c r="L110">
        <f t="shared" si="3"/>
        <v>761.34285714285716</v>
      </c>
    </row>
    <row r="111" spans="1:12" x14ac:dyDescent="0.25">
      <c r="A111">
        <v>1754</v>
      </c>
      <c r="B111" t="s">
        <v>24</v>
      </c>
      <c r="C111" t="s">
        <v>66</v>
      </c>
      <c r="D111" t="s">
        <v>33</v>
      </c>
      <c r="H111">
        <v>1906</v>
      </c>
      <c r="J111">
        <f t="shared" si="2"/>
        <v>1906</v>
      </c>
      <c r="L111">
        <f t="shared" si="3"/>
        <v>0.85089285714285712</v>
      </c>
    </row>
    <row r="112" spans="1:12" x14ac:dyDescent="0.25">
      <c r="A112">
        <v>1754</v>
      </c>
      <c r="B112" t="s">
        <v>81</v>
      </c>
      <c r="C112" t="s">
        <v>66</v>
      </c>
      <c r="D112" t="s">
        <v>33</v>
      </c>
      <c r="J112">
        <f t="shared" si="2"/>
        <v>0</v>
      </c>
      <c r="L112">
        <f t="shared" si="3"/>
        <v>0</v>
      </c>
    </row>
    <row r="113" spans="1:12" x14ac:dyDescent="0.25">
      <c r="A113">
        <v>1754</v>
      </c>
      <c r="B113" t="s">
        <v>19</v>
      </c>
      <c r="C113" t="s">
        <v>66</v>
      </c>
      <c r="D113" t="s">
        <v>33</v>
      </c>
      <c r="F113">
        <v>46</v>
      </c>
      <c r="G113">
        <v>3</v>
      </c>
      <c r="H113">
        <v>16</v>
      </c>
      <c r="J113">
        <f t="shared" si="2"/>
        <v>5252</v>
      </c>
      <c r="L113">
        <f t="shared" si="3"/>
        <v>2.344642857142857</v>
      </c>
    </row>
    <row r="114" spans="1:12" x14ac:dyDescent="0.25">
      <c r="A114">
        <v>1754</v>
      </c>
      <c r="B114" t="s">
        <v>43</v>
      </c>
      <c r="C114" t="s">
        <v>66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82</v>
      </c>
      <c r="C115" t="s">
        <v>66</v>
      </c>
      <c r="D115" t="s">
        <v>33</v>
      </c>
      <c r="J115">
        <f t="shared" si="2"/>
        <v>0</v>
      </c>
      <c r="L115">
        <f t="shared" si="3"/>
        <v>0</v>
      </c>
    </row>
    <row r="116" spans="1:12" x14ac:dyDescent="0.25">
      <c r="A116">
        <v>1754</v>
      </c>
      <c r="B116" t="s">
        <v>52</v>
      </c>
      <c r="C116" t="s">
        <v>66</v>
      </c>
      <c r="D116" t="s">
        <v>33</v>
      </c>
      <c r="H116">
        <v>1004</v>
      </c>
      <c r="J116">
        <f t="shared" si="2"/>
        <v>1004</v>
      </c>
      <c r="L116">
        <f t="shared" si="3"/>
        <v>0.44821428571428573</v>
      </c>
    </row>
    <row r="117" spans="1:12" x14ac:dyDescent="0.25">
      <c r="A117">
        <v>1754</v>
      </c>
      <c r="B117" t="s">
        <v>91</v>
      </c>
      <c r="C117" t="s">
        <v>66</v>
      </c>
      <c r="D117" t="s">
        <v>33</v>
      </c>
      <c r="H117">
        <v>519</v>
      </c>
      <c r="J117">
        <f t="shared" si="2"/>
        <v>519</v>
      </c>
      <c r="L117">
        <f t="shared" si="3"/>
        <v>0.23169642857142858</v>
      </c>
    </row>
    <row r="118" spans="1:12" x14ac:dyDescent="0.25">
      <c r="A118">
        <v>1754</v>
      </c>
      <c r="B118" t="s">
        <v>20</v>
      </c>
      <c r="C118" t="s">
        <v>66</v>
      </c>
      <c r="D118" t="s">
        <v>33</v>
      </c>
      <c r="J118">
        <f t="shared" si="2"/>
        <v>0</v>
      </c>
      <c r="L118">
        <f t="shared" si="3"/>
        <v>0</v>
      </c>
    </row>
    <row r="119" spans="1:12" x14ac:dyDescent="0.25">
      <c r="A119">
        <v>1754</v>
      </c>
      <c r="B119" t="s">
        <v>21</v>
      </c>
      <c r="C119" t="s">
        <v>66</v>
      </c>
      <c r="D119" t="s">
        <v>33</v>
      </c>
      <c r="H119">
        <v>1896</v>
      </c>
      <c r="J119">
        <f t="shared" si="2"/>
        <v>1896</v>
      </c>
      <c r="L119">
        <f t="shared" si="3"/>
        <v>0.84642857142857142</v>
      </c>
    </row>
    <row r="120" spans="1:12" x14ac:dyDescent="0.25">
      <c r="A120">
        <v>1754</v>
      </c>
      <c r="B120" t="s">
        <v>87</v>
      </c>
      <c r="C120" t="s">
        <v>66</v>
      </c>
      <c r="D120" t="s">
        <v>33</v>
      </c>
      <c r="J120">
        <f t="shared" si="2"/>
        <v>0</v>
      </c>
      <c r="L120">
        <f t="shared" si="3"/>
        <v>0</v>
      </c>
    </row>
    <row r="121" spans="1:12" x14ac:dyDescent="0.25">
      <c r="A121">
        <v>1754</v>
      </c>
      <c r="B121" t="s">
        <v>22</v>
      </c>
      <c r="C121" t="s">
        <v>66</v>
      </c>
      <c r="D121" t="s">
        <v>33</v>
      </c>
      <c r="J121">
        <f t="shared" si="2"/>
        <v>0</v>
      </c>
      <c r="L121">
        <f t="shared" si="3"/>
        <v>0</v>
      </c>
    </row>
    <row r="122" spans="1:12" x14ac:dyDescent="0.25">
      <c r="A122">
        <v>1754</v>
      </c>
      <c r="B122" t="s">
        <v>59</v>
      </c>
      <c r="C122" t="s">
        <v>66</v>
      </c>
      <c r="D122" t="s">
        <v>33</v>
      </c>
      <c r="E122">
        <v>30</v>
      </c>
      <c r="F122">
        <v>11</v>
      </c>
      <c r="G122">
        <v>3</v>
      </c>
      <c r="H122">
        <v>21</v>
      </c>
      <c r="J122">
        <f t="shared" si="2"/>
        <v>68537</v>
      </c>
      <c r="L122">
        <f t="shared" si="3"/>
        <v>30.596875000000001</v>
      </c>
    </row>
    <row r="123" spans="1:12" x14ac:dyDescent="0.25">
      <c r="A123">
        <v>1754</v>
      </c>
      <c r="B123" t="s">
        <v>88</v>
      </c>
      <c r="C123" t="s">
        <v>66</v>
      </c>
      <c r="D123" t="s">
        <v>33</v>
      </c>
      <c r="J123">
        <f t="shared" si="2"/>
        <v>0</v>
      </c>
      <c r="L123">
        <f t="shared" si="3"/>
        <v>0</v>
      </c>
    </row>
    <row r="124" spans="1:12" x14ac:dyDescent="0.25">
      <c r="A124">
        <v>1754</v>
      </c>
      <c r="B124" t="s">
        <v>94</v>
      </c>
      <c r="C124" t="s">
        <v>66</v>
      </c>
      <c r="D124" t="s">
        <v>33</v>
      </c>
      <c r="J124">
        <f t="shared" si="2"/>
        <v>0</v>
      </c>
      <c r="L124">
        <f t="shared" si="3"/>
        <v>0</v>
      </c>
    </row>
    <row r="125" spans="1:12" x14ac:dyDescent="0.25">
      <c r="A125">
        <v>1754</v>
      </c>
      <c r="B125" t="s">
        <v>84</v>
      </c>
      <c r="C125" t="s">
        <v>66</v>
      </c>
      <c r="D125" t="s">
        <v>33</v>
      </c>
      <c r="E125">
        <v>57</v>
      </c>
      <c r="F125">
        <v>17</v>
      </c>
      <c r="G125">
        <v>1</v>
      </c>
      <c r="H125">
        <v>10</v>
      </c>
      <c r="J125">
        <f t="shared" si="2"/>
        <v>129622</v>
      </c>
      <c r="L125">
        <f t="shared" si="3"/>
        <v>57.866964285714289</v>
      </c>
    </row>
    <row r="126" spans="1:12" x14ac:dyDescent="0.25">
      <c r="A126">
        <v>1754</v>
      </c>
      <c r="B126" t="s">
        <v>60</v>
      </c>
      <c r="C126" t="s">
        <v>66</v>
      </c>
      <c r="D126" t="s">
        <v>33</v>
      </c>
      <c r="E126">
        <v>963</v>
      </c>
      <c r="F126">
        <v>10</v>
      </c>
      <c r="G126">
        <v>3</v>
      </c>
      <c r="H126">
        <v>14</v>
      </c>
      <c r="J126">
        <f t="shared" si="2"/>
        <v>2158338</v>
      </c>
      <c r="L126">
        <f t="shared" si="3"/>
        <v>963.54375000000005</v>
      </c>
    </row>
    <row r="127" spans="1:12" x14ac:dyDescent="0.25">
      <c r="A127">
        <v>1754</v>
      </c>
      <c r="B127" t="s">
        <v>85</v>
      </c>
      <c r="C127" t="s">
        <v>66</v>
      </c>
      <c r="D127" t="s">
        <v>33</v>
      </c>
      <c r="J127">
        <f t="shared" si="2"/>
        <v>0</v>
      </c>
      <c r="L127">
        <f t="shared" si="3"/>
        <v>0</v>
      </c>
    </row>
    <row r="128" spans="1:12" x14ac:dyDescent="0.25">
      <c r="A128">
        <v>1754</v>
      </c>
      <c r="B128" t="s">
        <v>61</v>
      </c>
      <c r="C128" t="s">
        <v>66</v>
      </c>
      <c r="D128" t="s">
        <v>33</v>
      </c>
      <c r="E128">
        <v>319</v>
      </c>
      <c r="F128">
        <v>8</v>
      </c>
      <c r="G128">
        <v>3</v>
      </c>
      <c r="H128">
        <v>5</v>
      </c>
      <c r="J128">
        <f t="shared" si="2"/>
        <v>715545</v>
      </c>
      <c r="L128">
        <f t="shared" si="3"/>
        <v>319.43973214285717</v>
      </c>
    </row>
    <row r="129" spans="1:12" x14ac:dyDescent="0.25">
      <c r="A129">
        <v>1754</v>
      </c>
      <c r="B129" t="s">
        <v>86</v>
      </c>
      <c r="C129" t="s">
        <v>66</v>
      </c>
      <c r="D129" t="s">
        <v>33</v>
      </c>
      <c r="E129">
        <v>347</v>
      </c>
      <c r="F129">
        <v>15</v>
      </c>
      <c r="G129">
        <v>2</v>
      </c>
      <c r="H129">
        <v>5</v>
      </c>
      <c r="J129">
        <f t="shared" si="2"/>
        <v>779021</v>
      </c>
      <c r="L129">
        <f t="shared" si="3"/>
        <v>347.77723214285714</v>
      </c>
    </row>
    <row r="130" spans="1:12" x14ac:dyDescent="0.25">
      <c r="A130">
        <v>1754</v>
      </c>
      <c r="B130" t="s">
        <v>68</v>
      </c>
      <c r="C130" t="s">
        <v>66</v>
      </c>
      <c r="D130" t="s">
        <v>33</v>
      </c>
      <c r="E130">
        <v>138</v>
      </c>
      <c r="F130">
        <v>18</v>
      </c>
      <c r="G130">
        <v>1</v>
      </c>
      <c r="H130">
        <v>16</v>
      </c>
      <c r="J130">
        <f t="shared" si="2"/>
        <v>311180</v>
      </c>
      <c r="L130">
        <f t="shared" si="3"/>
        <v>138.91964285714286</v>
      </c>
    </row>
    <row r="131" spans="1:12" x14ac:dyDescent="0.25">
      <c r="A131">
        <v>1754</v>
      </c>
      <c r="B131" t="s">
        <v>62</v>
      </c>
      <c r="C131" t="s">
        <v>66</v>
      </c>
      <c r="D131" t="s">
        <v>33</v>
      </c>
      <c r="J131">
        <f t="shared" si="2"/>
        <v>0</v>
      </c>
      <c r="L131">
        <f t="shared" si="3"/>
        <v>0</v>
      </c>
    </row>
    <row r="132" spans="1:12" x14ac:dyDescent="0.25">
      <c r="A132">
        <v>1754</v>
      </c>
      <c r="B132" t="s">
        <v>63</v>
      </c>
      <c r="C132" t="s">
        <v>66</v>
      </c>
      <c r="D132" t="s">
        <v>33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0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A2">
        <v>1754</v>
      </c>
      <c r="B2" t="s">
        <v>53</v>
      </c>
      <c r="C2" t="s">
        <v>70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A3">
        <v>1754</v>
      </c>
      <c r="B3" t="s">
        <v>55</v>
      </c>
      <c r="C3" t="s">
        <v>70</v>
      </c>
      <c r="D3" t="s">
        <v>31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1754</v>
      </c>
      <c r="B4" t="s">
        <v>34</v>
      </c>
      <c r="C4" t="s">
        <v>70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A5">
        <v>1754</v>
      </c>
      <c r="B5" t="s">
        <v>4</v>
      </c>
      <c r="C5" t="s">
        <v>70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A6">
        <v>1754</v>
      </c>
      <c r="B6" t="s">
        <v>56</v>
      </c>
      <c r="C6" t="s">
        <v>70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A7">
        <v>1754</v>
      </c>
      <c r="B7" t="s">
        <v>67</v>
      </c>
      <c r="C7" t="s">
        <v>70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A8">
        <v>1754</v>
      </c>
      <c r="B8" t="s">
        <v>41</v>
      </c>
      <c r="C8" t="s">
        <v>70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A9">
        <v>1754</v>
      </c>
      <c r="B9" t="s">
        <v>74</v>
      </c>
      <c r="C9" t="s">
        <v>70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A10">
        <v>1754</v>
      </c>
      <c r="B10" t="s">
        <v>5</v>
      </c>
      <c r="C10" t="s">
        <v>70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A11">
        <v>1754</v>
      </c>
      <c r="B11" t="s">
        <v>57</v>
      </c>
      <c r="C11" t="s">
        <v>70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A12">
        <v>1754</v>
      </c>
      <c r="B12" t="s">
        <v>6</v>
      </c>
      <c r="C12" t="s">
        <v>70</v>
      </c>
      <c r="D12" t="s">
        <v>31</v>
      </c>
      <c r="F12">
        <v>33178</v>
      </c>
      <c r="G12">
        <v>3</v>
      </c>
      <c r="H12">
        <v>10</v>
      </c>
      <c r="J12">
        <f t="shared" si="0"/>
        <v>3716030</v>
      </c>
      <c r="L12">
        <f t="shared" si="1"/>
        <v>1658.9419642857142</v>
      </c>
    </row>
    <row r="13" spans="1:15" x14ac:dyDescent="0.25">
      <c r="A13">
        <v>1754</v>
      </c>
      <c r="B13" t="s">
        <v>92</v>
      </c>
      <c r="C13" t="s">
        <v>70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A14">
        <v>1754</v>
      </c>
      <c r="B14" t="s">
        <v>58</v>
      </c>
      <c r="C14" t="s">
        <v>70</v>
      </c>
      <c r="D14" t="s">
        <v>31</v>
      </c>
      <c r="J14">
        <f t="shared" si="0"/>
        <v>0</v>
      </c>
      <c r="L14">
        <f t="shared" si="1"/>
        <v>0</v>
      </c>
    </row>
    <row r="15" spans="1:15" x14ac:dyDescent="0.25">
      <c r="A15">
        <v>1754</v>
      </c>
      <c r="B15" t="s">
        <v>7</v>
      </c>
      <c r="C15" t="s">
        <v>70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A16">
        <v>1754</v>
      </c>
      <c r="B16" t="s">
        <v>35</v>
      </c>
      <c r="C16" t="s">
        <v>70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8</v>
      </c>
      <c r="C17" t="s">
        <v>70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38</v>
      </c>
      <c r="C18" t="s">
        <v>70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75</v>
      </c>
      <c r="C19" t="s">
        <v>70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>
        <v>1754</v>
      </c>
      <c r="B20" t="s">
        <v>76</v>
      </c>
      <c r="C20" t="s">
        <v>70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44</v>
      </c>
      <c r="C21" t="s">
        <v>70</v>
      </c>
      <c r="D21" t="s">
        <v>31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9</v>
      </c>
      <c r="C22" t="s">
        <v>70</v>
      </c>
      <c r="D22" t="s">
        <v>31</v>
      </c>
      <c r="H22">
        <f>120*200</f>
        <v>24000</v>
      </c>
      <c r="I22" t="s">
        <v>131</v>
      </c>
      <c r="J22">
        <f t="shared" si="0"/>
        <v>24000</v>
      </c>
      <c r="L22">
        <f t="shared" si="1"/>
        <v>10.714285714285714</v>
      </c>
    </row>
    <row r="23" spans="1:12" x14ac:dyDescent="0.25">
      <c r="A23">
        <v>1754</v>
      </c>
      <c r="B23" t="s">
        <v>10</v>
      </c>
      <c r="C23" t="s">
        <v>70</v>
      </c>
      <c r="D23" t="s">
        <v>31</v>
      </c>
      <c r="F23">
        <v>512</v>
      </c>
      <c r="G23">
        <v>2</v>
      </c>
      <c r="H23">
        <v>8</v>
      </c>
      <c r="J23">
        <f t="shared" si="0"/>
        <v>57408</v>
      </c>
      <c r="L23">
        <f t="shared" si="1"/>
        <v>25.62857142857143</v>
      </c>
    </row>
    <row r="24" spans="1:12" x14ac:dyDescent="0.25">
      <c r="A24">
        <v>1754</v>
      </c>
      <c r="B24" t="s">
        <v>11</v>
      </c>
      <c r="C24" t="s">
        <v>70</v>
      </c>
      <c r="D24" t="s">
        <v>31</v>
      </c>
      <c r="F24">
        <v>3</v>
      </c>
      <c r="G24">
        <v>3</v>
      </c>
      <c r="H24">
        <v>20</v>
      </c>
      <c r="J24">
        <f t="shared" si="0"/>
        <v>440</v>
      </c>
      <c r="L24">
        <f t="shared" si="1"/>
        <v>0.19642857142857142</v>
      </c>
    </row>
    <row r="25" spans="1:12" x14ac:dyDescent="0.25">
      <c r="A25">
        <v>1754</v>
      </c>
      <c r="B25" t="s">
        <v>37</v>
      </c>
      <c r="C25" t="s">
        <v>70</v>
      </c>
      <c r="D25" t="s">
        <v>31</v>
      </c>
      <c r="H25">
        <v>23</v>
      </c>
      <c r="J25">
        <f t="shared" si="0"/>
        <v>23</v>
      </c>
      <c r="L25">
        <f t="shared" si="1"/>
        <v>1.0267857142857143E-2</v>
      </c>
    </row>
    <row r="26" spans="1:12" x14ac:dyDescent="0.25">
      <c r="A26">
        <v>1754</v>
      </c>
      <c r="B26" t="s">
        <v>77</v>
      </c>
      <c r="C26" t="s">
        <v>70</v>
      </c>
      <c r="D26" t="s">
        <v>31</v>
      </c>
      <c r="H26">
        <v>419</v>
      </c>
      <c r="J26">
        <f t="shared" si="0"/>
        <v>419</v>
      </c>
      <c r="L26">
        <f t="shared" si="1"/>
        <v>0.18705357142857143</v>
      </c>
    </row>
    <row r="27" spans="1:12" x14ac:dyDescent="0.25">
      <c r="A27">
        <v>1754</v>
      </c>
      <c r="B27" t="s">
        <v>99</v>
      </c>
      <c r="C27" t="s">
        <v>70</v>
      </c>
      <c r="D27" t="s">
        <v>31</v>
      </c>
      <c r="H27">
        <v>169</v>
      </c>
      <c r="J27">
        <f t="shared" si="0"/>
        <v>169</v>
      </c>
      <c r="L27">
        <f t="shared" si="1"/>
        <v>7.5446428571428567E-2</v>
      </c>
    </row>
    <row r="28" spans="1:12" x14ac:dyDescent="0.25">
      <c r="A28">
        <v>1754</v>
      </c>
      <c r="B28" t="s">
        <v>42</v>
      </c>
      <c r="C28" t="s">
        <v>70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93</v>
      </c>
      <c r="C29" t="s">
        <v>70</v>
      </c>
      <c r="D29" t="s">
        <v>31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12</v>
      </c>
      <c r="C30" t="s">
        <v>70</v>
      </c>
      <c r="D30" t="s">
        <v>31</v>
      </c>
      <c r="H30">
        <v>1275</v>
      </c>
      <c r="J30">
        <f t="shared" si="0"/>
        <v>1275</v>
      </c>
      <c r="L30">
        <f t="shared" si="1"/>
        <v>0.5691964285714286</v>
      </c>
    </row>
    <row r="31" spans="1:12" x14ac:dyDescent="0.25">
      <c r="A31">
        <v>1754</v>
      </c>
      <c r="B31" t="s">
        <v>103</v>
      </c>
      <c r="C31" t="s">
        <v>70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32</v>
      </c>
      <c r="C32" t="s">
        <v>70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13</v>
      </c>
      <c r="C33" t="s">
        <v>70</v>
      </c>
      <c r="D33" t="s">
        <v>31</v>
      </c>
      <c r="E33">
        <v>14</v>
      </c>
      <c r="F33">
        <v>14</v>
      </c>
      <c r="J33">
        <f t="shared" si="0"/>
        <v>32928</v>
      </c>
      <c r="L33">
        <f t="shared" si="1"/>
        <v>14.7</v>
      </c>
    </row>
    <row r="34" spans="1:12" x14ac:dyDescent="0.25">
      <c r="A34">
        <v>1754</v>
      </c>
      <c r="B34" t="s">
        <v>14</v>
      </c>
      <c r="C34" t="s">
        <v>70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23</v>
      </c>
      <c r="C35" t="s">
        <v>70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25</v>
      </c>
      <c r="C36" t="s">
        <v>70</v>
      </c>
      <c r="D36" t="s">
        <v>31</v>
      </c>
      <c r="H36">
        <v>141816.5</v>
      </c>
      <c r="I36" t="s">
        <v>130</v>
      </c>
      <c r="J36">
        <f t="shared" si="0"/>
        <v>141816.5</v>
      </c>
      <c r="L36">
        <f t="shared" si="1"/>
        <v>63.310937500000001</v>
      </c>
    </row>
    <row r="37" spans="1:12" x14ac:dyDescent="0.25">
      <c r="A37">
        <v>1754</v>
      </c>
      <c r="B37" t="s">
        <v>15</v>
      </c>
      <c r="C37" t="s">
        <v>70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40</v>
      </c>
      <c r="C38" t="s">
        <v>70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80</v>
      </c>
      <c r="C39" t="s">
        <v>70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45</v>
      </c>
      <c r="C40" t="s">
        <v>70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16</v>
      </c>
      <c r="C41" t="s">
        <v>70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17</v>
      </c>
      <c r="C42" t="s">
        <v>70</v>
      </c>
      <c r="D42" t="s">
        <v>31</v>
      </c>
      <c r="J42">
        <f t="shared" si="0"/>
        <v>0</v>
      </c>
      <c r="L42">
        <f t="shared" si="1"/>
        <v>0</v>
      </c>
    </row>
    <row r="43" spans="1:12" x14ac:dyDescent="0.25">
      <c r="A43">
        <v>1754</v>
      </c>
      <c r="B43" t="s">
        <v>18</v>
      </c>
      <c r="C43" t="s">
        <v>70</v>
      </c>
      <c r="D43" t="s">
        <v>31</v>
      </c>
      <c r="H43">
        <v>86312</v>
      </c>
      <c r="I43" t="s">
        <v>129</v>
      </c>
      <c r="J43">
        <f t="shared" si="0"/>
        <v>86312</v>
      </c>
      <c r="L43">
        <f t="shared" si="1"/>
        <v>38.532142857142858</v>
      </c>
    </row>
    <row r="44" spans="1:12" x14ac:dyDescent="0.25">
      <c r="A44">
        <v>1754</v>
      </c>
      <c r="B44" t="s">
        <v>24</v>
      </c>
      <c r="C44" t="s">
        <v>70</v>
      </c>
      <c r="D44" t="s">
        <v>31</v>
      </c>
      <c r="J44">
        <f t="shared" si="0"/>
        <v>0</v>
      </c>
      <c r="L44">
        <f t="shared" si="1"/>
        <v>0</v>
      </c>
    </row>
    <row r="45" spans="1:12" x14ac:dyDescent="0.25">
      <c r="A45">
        <v>1754</v>
      </c>
      <c r="B45" t="s">
        <v>81</v>
      </c>
      <c r="C45" t="s">
        <v>70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19</v>
      </c>
      <c r="C46" t="s">
        <v>70</v>
      </c>
      <c r="D46" t="s">
        <v>31</v>
      </c>
      <c r="J46">
        <f t="shared" si="0"/>
        <v>0</v>
      </c>
      <c r="L46">
        <f t="shared" si="1"/>
        <v>0</v>
      </c>
    </row>
    <row r="47" spans="1:12" x14ac:dyDescent="0.25">
      <c r="A47">
        <v>1754</v>
      </c>
      <c r="B47" t="s">
        <v>43</v>
      </c>
      <c r="C47" t="s">
        <v>70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>
        <v>1754</v>
      </c>
      <c r="B48" t="s">
        <v>82</v>
      </c>
      <c r="C48" t="s">
        <v>70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52</v>
      </c>
      <c r="C49" t="s">
        <v>70</v>
      </c>
      <c r="D49" t="s">
        <v>31</v>
      </c>
      <c r="H49">
        <v>161</v>
      </c>
      <c r="J49">
        <f t="shared" si="0"/>
        <v>161</v>
      </c>
      <c r="L49">
        <f t="shared" si="1"/>
        <v>7.1874999999999994E-2</v>
      </c>
    </row>
    <row r="50" spans="1:12" x14ac:dyDescent="0.25">
      <c r="A50">
        <v>1754</v>
      </c>
      <c r="B50" t="s">
        <v>91</v>
      </c>
      <c r="C50" t="s">
        <v>70</v>
      </c>
      <c r="D50" t="s">
        <v>31</v>
      </c>
      <c r="H50">
        <v>19</v>
      </c>
      <c r="J50">
        <f t="shared" si="0"/>
        <v>19</v>
      </c>
      <c r="L50">
        <f t="shared" si="1"/>
        <v>8.4821428571428565E-3</v>
      </c>
    </row>
    <row r="51" spans="1:12" x14ac:dyDescent="0.25">
      <c r="A51">
        <v>1754</v>
      </c>
      <c r="B51" t="s">
        <v>20</v>
      </c>
      <c r="C51" t="s">
        <v>70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21</v>
      </c>
      <c r="C52" t="s">
        <v>70</v>
      </c>
      <c r="D52" t="s">
        <v>31</v>
      </c>
      <c r="H52">
        <v>200</v>
      </c>
      <c r="J52">
        <f t="shared" si="0"/>
        <v>200</v>
      </c>
      <c r="L52">
        <f t="shared" si="1"/>
        <v>8.9285714285714288E-2</v>
      </c>
    </row>
    <row r="53" spans="1:12" x14ac:dyDescent="0.25">
      <c r="A53">
        <v>1754</v>
      </c>
      <c r="B53" t="s">
        <v>22</v>
      </c>
      <c r="C53" t="s">
        <v>70</v>
      </c>
      <c r="D53" t="s">
        <v>31</v>
      </c>
      <c r="J53">
        <f t="shared" si="0"/>
        <v>0</v>
      </c>
      <c r="L53">
        <f t="shared" si="1"/>
        <v>0</v>
      </c>
    </row>
    <row r="54" spans="1:12" x14ac:dyDescent="0.25">
      <c r="A54">
        <v>1754</v>
      </c>
      <c r="B54" t="s">
        <v>59</v>
      </c>
      <c r="C54" t="s">
        <v>70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95</v>
      </c>
      <c r="C55" t="s">
        <v>70</v>
      </c>
      <c r="D55" t="s">
        <v>31</v>
      </c>
      <c r="J55">
        <f t="shared" si="0"/>
        <v>0</v>
      </c>
      <c r="L55">
        <f t="shared" si="1"/>
        <v>0</v>
      </c>
    </row>
    <row r="56" spans="1:12" x14ac:dyDescent="0.25">
      <c r="A56">
        <v>1754</v>
      </c>
      <c r="B56" t="s">
        <v>84</v>
      </c>
      <c r="C56" t="s">
        <v>70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60</v>
      </c>
      <c r="C57" t="s">
        <v>70</v>
      </c>
      <c r="D57" t="s">
        <v>31</v>
      </c>
      <c r="F57">
        <v>10</v>
      </c>
      <c r="H57">
        <v>308</v>
      </c>
      <c r="J57">
        <f t="shared" si="0"/>
        <v>1428</v>
      </c>
      <c r="L57">
        <f t="shared" si="1"/>
        <v>0.63749999999999996</v>
      </c>
    </row>
    <row r="58" spans="1:12" x14ac:dyDescent="0.25">
      <c r="A58">
        <v>1754</v>
      </c>
      <c r="B58" t="s">
        <v>85</v>
      </c>
      <c r="C58" t="s">
        <v>70</v>
      </c>
      <c r="D58" t="s">
        <v>31</v>
      </c>
      <c r="J58">
        <f t="shared" si="0"/>
        <v>0</v>
      </c>
      <c r="L58">
        <f t="shared" si="1"/>
        <v>0</v>
      </c>
    </row>
    <row r="59" spans="1:12" x14ac:dyDescent="0.25">
      <c r="A59">
        <v>1754</v>
      </c>
      <c r="B59" t="s">
        <v>61</v>
      </c>
      <c r="C59" t="s">
        <v>70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86</v>
      </c>
      <c r="C60" t="s">
        <v>70</v>
      </c>
      <c r="D60" t="s">
        <v>31</v>
      </c>
      <c r="J60">
        <f t="shared" si="0"/>
        <v>0</v>
      </c>
      <c r="L60">
        <f t="shared" si="1"/>
        <v>0</v>
      </c>
    </row>
    <row r="61" spans="1:12" x14ac:dyDescent="0.25">
      <c r="A61">
        <v>1754</v>
      </c>
      <c r="B61" t="s">
        <v>68</v>
      </c>
      <c r="C61" t="s">
        <v>70</v>
      </c>
      <c r="D61" t="s">
        <v>31</v>
      </c>
      <c r="J61">
        <f t="shared" si="0"/>
        <v>0</v>
      </c>
      <c r="L61">
        <f t="shared" si="1"/>
        <v>0</v>
      </c>
    </row>
    <row r="62" spans="1:12" x14ac:dyDescent="0.25">
      <c r="A62">
        <v>1754</v>
      </c>
      <c r="B62" t="s">
        <v>62</v>
      </c>
      <c r="C62" t="s">
        <v>70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63</v>
      </c>
      <c r="C63" t="s">
        <v>70</v>
      </c>
      <c r="D63" t="s">
        <v>31</v>
      </c>
      <c r="J63">
        <f t="shared" si="0"/>
        <v>0</v>
      </c>
      <c r="L63">
        <f t="shared" si="1"/>
        <v>0</v>
      </c>
    </row>
    <row r="64" spans="1:12" x14ac:dyDescent="0.25">
      <c r="A64">
        <v>1754</v>
      </c>
      <c r="B64" t="s">
        <v>53</v>
      </c>
      <c r="C64" t="s">
        <v>70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55</v>
      </c>
      <c r="C65" t="s">
        <v>70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1754</v>
      </c>
      <c r="B66" t="s">
        <v>34</v>
      </c>
      <c r="C66" t="s">
        <v>70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4</v>
      </c>
      <c r="C67" t="s">
        <v>70</v>
      </c>
      <c r="D67" t="s">
        <v>33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1754</v>
      </c>
      <c r="B68" t="s">
        <v>56</v>
      </c>
      <c r="C68" t="s">
        <v>70</v>
      </c>
      <c r="D68" t="s">
        <v>33</v>
      </c>
      <c r="J68">
        <f t="shared" si="2"/>
        <v>0</v>
      </c>
      <c r="L68">
        <f t="shared" si="3"/>
        <v>0</v>
      </c>
    </row>
    <row r="69" spans="1:12" x14ac:dyDescent="0.25">
      <c r="A69">
        <v>1754</v>
      </c>
      <c r="B69" t="s">
        <v>67</v>
      </c>
      <c r="C69" t="s">
        <v>70</v>
      </c>
      <c r="D69" t="s">
        <v>33</v>
      </c>
      <c r="J69">
        <f t="shared" si="2"/>
        <v>0</v>
      </c>
      <c r="L69">
        <f t="shared" si="3"/>
        <v>0</v>
      </c>
    </row>
    <row r="70" spans="1:12" x14ac:dyDescent="0.25">
      <c r="A70">
        <v>1754</v>
      </c>
      <c r="B70" t="s">
        <v>41</v>
      </c>
      <c r="C70" t="s">
        <v>70</v>
      </c>
      <c r="D70" t="s">
        <v>33</v>
      </c>
      <c r="J70">
        <f t="shared" si="2"/>
        <v>0</v>
      </c>
      <c r="L70">
        <f t="shared" si="3"/>
        <v>0</v>
      </c>
    </row>
    <row r="71" spans="1:12" x14ac:dyDescent="0.25">
      <c r="A71">
        <v>1754</v>
      </c>
      <c r="B71" t="s">
        <v>74</v>
      </c>
      <c r="C71" t="s">
        <v>70</v>
      </c>
      <c r="D71" t="s">
        <v>33</v>
      </c>
      <c r="J71">
        <f t="shared" si="2"/>
        <v>0</v>
      </c>
      <c r="L71">
        <f t="shared" si="3"/>
        <v>0</v>
      </c>
    </row>
    <row r="72" spans="1:12" x14ac:dyDescent="0.25">
      <c r="A72">
        <v>1754</v>
      </c>
      <c r="B72" t="s">
        <v>5</v>
      </c>
      <c r="C72" t="s">
        <v>70</v>
      </c>
      <c r="D72" t="s">
        <v>33</v>
      </c>
      <c r="F72">
        <v>5</v>
      </c>
      <c r="J72">
        <f t="shared" si="2"/>
        <v>560</v>
      </c>
      <c r="L72">
        <f t="shared" si="3"/>
        <v>0.25</v>
      </c>
    </row>
    <row r="73" spans="1:12" x14ac:dyDescent="0.25">
      <c r="A73">
        <v>1754</v>
      </c>
      <c r="B73" t="s">
        <v>57</v>
      </c>
      <c r="C73" t="s">
        <v>70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6</v>
      </c>
      <c r="C74" t="s">
        <v>70</v>
      </c>
      <c r="D74" t="s">
        <v>33</v>
      </c>
      <c r="F74">
        <v>2050</v>
      </c>
      <c r="G74">
        <v>2</v>
      </c>
      <c r="J74">
        <f t="shared" si="2"/>
        <v>229656</v>
      </c>
      <c r="L74">
        <f t="shared" si="3"/>
        <v>102.52500000000001</v>
      </c>
    </row>
    <row r="75" spans="1:12" x14ac:dyDescent="0.25">
      <c r="A75">
        <v>1754</v>
      </c>
      <c r="B75" t="s">
        <v>58</v>
      </c>
      <c r="C75" t="s">
        <v>70</v>
      </c>
      <c r="D75" t="s">
        <v>33</v>
      </c>
      <c r="J75">
        <f t="shared" si="2"/>
        <v>0</v>
      </c>
      <c r="L75">
        <f t="shared" si="3"/>
        <v>0</v>
      </c>
    </row>
    <row r="76" spans="1:12" x14ac:dyDescent="0.25">
      <c r="A76">
        <v>1754</v>
      </c>
      <c r="B76" t="s">
        <v>7</v>
      </c>
      <c r="C76" t="s">
        <v>70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35</v>
      </c>
      <c r="C77" t="s">
        <v>70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8</v>
      </c>
      <c r="C78" t="s">
        <v>70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38</v>
      </c>
      <c r="C79" t="s">
        <v>70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75</v>
      </c>
      <c r="C80" t="s">
        <v>70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76</v>
      </c>
      <c r="C81" t="s">
        <v>70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44</v>
      </c>
      <c r="C82" t="s">
        <v>70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9</v>
      </c>
      <c r="C83" t="s">
        <v>70</v>
      </c>
      <c r="D83" t="s">
        <v>33</v>
      </c>
      <c r="H83">
        <f>153*200</f>
        <v>30600</v>
      </c>
      <c r="I83" t="s">
        <v>157</v>
      </c>
      <c r="J83">
        <f t="shared" si="2"/>
        <v>30600</v>
      </c>
      <c r="L83">
        <f t="shared" si="3"/>
        <v>13.660714285714286</v>
      </c>
    </row>
    <row r="84" spans="1:12" x14ac:dyDescent="0.25">
      <c r="A84">
        <v>1754</v>
      </c>
      <c r="B84" t="s">
        <v>10</v>
      </c>
      <c r="C84" t="s">
        <v>70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>
        <v>1754</v>
      </c>
      <c r="B85" t="s">
        <v>11</v>
      </c>
      <c r="C85" t="s">
        <v>70</v>
      </c>
      <c r="D85" t="s">
        <v>33</v>
      </c>
      <c r="F85">
        <v>4</v>
      </c>
      <c r="G85">
        <v>2</v>
      </c>
      <c r="J85">
        <f t="shared" si="2"/>
        <v>504</v>
      </c>
      <c r="L85">
        <f t="shared" si="3"/>
        <v>0.22500000000000001</v>
      </c>
    </row>
    <row r="86" spans="1:12" x14ac:dyDescent="0.25">
      <c r="A86">
        <v>1754</v>
      </c>
      <c r="B86" t="s">
        <v>37</v>
      </c>
      <c r="C86" t="s">
        <v>70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>
        <v>1754</v>
      </c>
      <c r="B87" t="s">
        <v>77</v>
      </c>
      <c r="C87" t="s">
        <v>70</v>
      </c>
      <c r="D87" t="s">
        <v>33</v>
      </c>
      <c r="J87">
        <f t="shared" si="2"/>
        <v>0</v>
      </c>
      <c r="L87">
        <f t="shared" si="3"/>
        <v>0</v>
      </c>
    </row>
    <row r="88" spans="1:12" x14ac:dyDescent="0.25">
      <c r="A88">
        <v>1754</v>
      </c>
      <c r="B88" t="s">
        <v>99</v>
      </c>
      <c r="C88" t="s">
        <v>70</v>
      </c>
      <c r="D88" t="s">
        <v>33</v>
      </c>
      <c r="J88">
        <f t="shared" si="2"/>
        <v>0</v>
      </c>
      <c r="L88">
        <f t="shared" si="3"/>
        <v>0</v>
      </c>
    </row>
    <row r="89" spans="1:12" x14ac:dyDescent="0.25">
      <c r="A89">
        <v>1754</v>
      </c>
      <c r="B89" t="s">
        <v>42</v>
      </c>
      <c r="C89" t="s">
        <v>70</v>
      </c>
      <c r="D89" t="s">
        <v>33</v>
      </c>
      <c r="J89">
        <f t="shared" si="2"/>
        <v>0</v>
      </c>
      <c r="L89">
        <f t="shared" si="3"/>
        <v>0</v>
      </c>
    </row>
    <row r="90" spans="1:12" x14ac:dyDescent="0.25">
      <c r="A90">
        <v>1754</v>
      </c>
      <c r="B90" t="s">
        <v>93</v>
      </c>
      <c r="C90" t="s">
        <v>70</v>
      </c>
      <c r="D90" t="s">
        <v>33</v>
      </c>
      <c r="J90">
        <f t="shared" si="2"/>
        <v>0</v>
      </c>
      <c r="L90">
        <f t="shared" si="3"/>
        <v>0</v>
      </c>
    </row>
    <row r="91" spans="1:12" x14ac:dyDescent="0.25">
      <c r="A91">
        <v>1754</v>
      </c>
      <c r="B91" t="s">
        <v>12</v>
      </c>
      <c r="C91" t="s">
        <v>70</v>
      </c>
      <c r="D91" t="s">
        <v>33</v>
      </c>
      <c r="J91">
        <f t="shared" si="2"/>
        <v>0</v>
      </c>
      <c r="L91">
        <f t="shared" si="3"/>
        <v>0</v>
      </c>
    </row>
    <row r="92" spans="1:12" x14ac:dyDescent="0.25">
      <c r="A92">
        <v>1754</v>
      </c>
      <c r="B92" t="s">
        <v>103</v>
      </c>
      <c r="C92" t="s">
        <v>70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>
        <v>1754</v>
      </c>
      <c r="B93" t="s">
        <v>32</v>
      </c>
      <c r="C93" t="s">
        <v>70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>
        <v>1754</v>
      </c>
      <c r="B94" t="s">
        <v>13</v>
      </c>
      <c r="C94" t="s">
        <v>70</v>
      </c>
      <c r="D94" t="s">
        <v>33</v>
      </c>
      <c r="E94">
        <v>3</v>
      </c>
      <c r="F94">
        <v>3</v>
      </c>
      <c r="H94">
        <v>10</v>
      </c>
      <c r="J94">
        <f t="shared" si="2"/>
        <v>7066</v>
      </c>
      <c r="L94">
        <f t="shared" si="3"/>
        <v>3.1544642857142855</v>
      </c>
    </row>
    <row r="95" spans="1:12" x14ac:dyDescent="0.25">
      <c r="A95">
        <v>1754</v>
      </c>
      <c r="B95" t="s">
        <v>14</v>
      </c>
      <c r="C95" t="s">
        <v>70</v>
      </c>
      <c r="D95" t="s">
        <v>33</v>
      </c>
      <c r="J95">
        <f t="shared" si="2"/>
        <v>0</v>
      </c>
      <c r="L95">
        <f t="shared" si="3"/>
        <v>0</v>
      </c>
    </row>
    <row r="96" spans="1:12" x14ac:dyDescent="0.25">
      <c r="A96">
        <v>1754</v>
      </c>
      <c r="B96" t="s">
        <v>23</v>
      </c>
      <c r="C96" t="s">
        <v>70</v>
      </c>
      <c r="D96" t="s">
        <v>33</v>
      </c>
      <c r="J96">
        <f t="shared" si="2"/>
        <v>0</v>
      </c>
      <c r="L96">
        <f t="shared" si="3"/>
        <v>0</v>
      </c>
    </row>
    <row r="97" spans="1:12" x14ac:dyDescent="0.25">
      <c r="A97">
        <v>1754</v>
      </c>
      <c r="B97" t="s">
        <v>25</v>
      </c>
      <c r="C97" t="s">
        <v>70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15</v>
      </c>
      <c r="C98" t="s">
        <v>70</v>
      </c>
      <c r="D98" t="s">
        <v>33</v>
      </c>
      <c r="J98">
        <f t="shared" si="2"/>
        <v>0</v>
      </c>
      <c r="L98">
        <f t="shared" si="3"/>
        <v>0</v>
      </c>
    </row>
    <row r="99" spans="1:12" x14ac:dyDescent="0.25">
      <c r="A99">
        <v>1754</v>
      </c>
      <c r="B99" t="s">
        <v>89</v>
      </c>
      <c r="C99" t="s">
        <v>70</v>
      </c>
      <c r="D99" t="s">
        <v>33</v>
      </c>
      <c r="J99">
        <f t="shared" si="2"/>
        <v>0</v>
      </c>
      <c r="L99">
        <f t="shared" si="3"/>
        <v>0</v>
      </c>
    </row>
    <row r="100" spans="1:12" x14ac:dyDescent="0.25">
      <c r="A100">
        <v>1754</v>
      </c>
      <c r="B100" t="s">
        <v>40</v>
      </c>
      <c r="C100" t="s">
        <v>70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80</v>
      </c>
      <c r="C101" t="s">
        <v>70</v>
      </c>
      <c r="D101" t="s">
        <v>33</v>
      </c>
      <c r="J101">
        <f t="shared" si="2"/>
        <v>0</v>
      </c>
      <c r="L101">
        <f t="shared" si="3"/>
        <v>0</v>
      </c>
    </row>
    <row r="102" spans="1:12" x14ac:dyDescent="0.25">
      <c r="A102">
        <v>1754</v>
      </c>
      <c r="B102" t="s">
        <v>45</v>
      </c>
      <c r="C102" t="s">
        <v>70</v>
      </c>
      <c r="D102" t="s">
        <v>33</v>
      </c>
      <c r="J102">
        <f t="shared" si="2"/>
        <v>0</v>
      </c>
      <c r="L102">
        <f t="shared" si="3"/>
        <v>0</v>
      </c>
    </row>
    <row r="103" spans="1:12" x14ac:dyDescent="0.25">
      <c r="A103">
        <v>1754</v>
      </c>
      <c r="B103" t="s">
        <v>16</v>
      </c>
      <c r="C103" t="s">
        <v>70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17</v>
      </c>
      <c r="C104" t="s">
        <v>70</v>
      </c>
      <c r="D104" t="s">
        <v>33</v>
      </c>
      <c r="F104">
        <v>27</v>
      </c>
      <c r="G104">
        <v>2</v>
      </c>
      <c r="H104">
        <v>9</v>
      </c>
      <c r="J104">
        <f t="shared" si="2"/>
        <v>3089</v>
      </c>
      <c r="L104">
        <f t="shared" si="3"/>
        <v>1.3790178571428571</v>
      </c>
    </row>
    <row r="105" spans="1:12" x14ac:dyDescent="0.25">
      <c r="A105">
        <v>1754</v>
      </c>
      <c r="B105" t="s">
        <v>18</v>
      </c>
      <c r="C105" t="s">
        <v>70</v>
      </c>
      <c r="D105" t="s">
        <v>33</v>
      </c>
      <c r="H105">
        <v>24406</v>
      </c>
      <c r="I105" t="s">
        <v>156</v>
      </c>
      <c r="J105">
        <f t="shared" si="2"/>
        <v>24406</v>
      </c>
      <c r="L105">
        <f t="shared" si="3"/>
        <v>10.895535714285714</v>
      </c>
    </row>
    <row r="106" spans="1:12" x14ac:dyDescent="0.25">
      <c r="A106">
        <v>1754</v>
      </c>
      <c r="B106" t="s">
        <v>24</v>
      </c>
      <c r="C106" t="s">
        <v>70</v>
      </c>
      <c r="D106" t="s">
        <v>33</v>
      </c>
      <c r="J106">
        <f t="shared" si="2"/>
        <v>0</v>
      </c>
      <c r="L106">
        <f t="shared" si="3"/>
        <v>0</v>
      </c>
    </row>
    <row r="107" spans="1:12" x14ac:dyDescent="0.25">
      <c r="A107">
        <v>1754</v>
      </c>
      <c r="B107" t="s">
        <v>81</v>
      </c>
      <c r="C107" t="s">
        <v>70</v>
      </c>
      <c r="D107" t="s">
        <v>33</v>
      </c>
      <c r="J107">
        <f t="shared" si="2"/>
        <v>0</v>
      </c>
      <c r="L107">
        <f t="shared" si="3"/>
        <v>0</v>
      </c>
    </row>
    <row r="108" spans="1:12" x14ac:dyDescent="0.25">
      <c r="A108">
        <v>1754</v>
      </c>
      <c r="B108" t="s">
        <v>19</v>
      </c>
      <c r="C108" t="s">
        <v>70</v>
      </c>
      <c r="D108" t="s">
        <v>33</v>
      </c>
      <c r="J108">
        <f t="shared" si="2"/>
        <v>0</v>
      </c>
      <c r="L108">
        <f t="shared" si="3"/>
        <v>0</v>
      </c>
    </row>
    <row r="109" spans="1:12" x14ac:dyDescent="0.25">
      <c r="A109">
        <v>1754</v>
      </c>
      <c r="B109" t="s">
        <v>43</v>
      </c>
      <c r="C109" t="s">
        <v>70</v>
      </c>
      <c r="D109" t="s">
        <v>33</v>
      </c>
      <c r="J109">
        <f t="shared" si="2"/>
        <v>0</v>
      </c>
      <c r="L109">
        <f t="shared" si="3"/>
        <v>0</v>
      </c>
    </row>
    <row r="110" spans="1:12" x14ac:dyDescent="0.25">
      <c r="A110">
        <v>1754</v>
      </c>
      <c r="B110" t="s">
        <v>82</v>
      </c>
      <c r="C110" t="s">
        <v>70</v>
      </c>
      <c r="D110" t="s">
        <v>33</v>
      </c>
      <c r="J110">
        <f t="shared" si="2"/>
        <v>0</v>
      </c>
      <c r="L110">
        <f t="shared" si="3"/>
        <v>0</v>
      </c>
    </row>
    <row r="111" spans="1:12" x14ac:dyDescent="0.25">
      <c r="A111">
        <v>1754</v>
      </c>
      <c r="B111" t="s">
        <v>52</v>
      </c>
      <c r="C111" t="s">
        <v>70</v>
      </c>
      <c r="D111" t="s">
        <v>33</v>
      </c>
      <c r="J111">
        <f t="shared" si="2"/>
        <v>0</v>
      </c>
      <c r="L111">
        <f t="shared" si="3"/>
        <v>0</v>
      </c>
    </row>
    <row r="112" spans="1:12" x14ac:dyDescent="0.25">
      <c r="A112">
        <v>1754</v>
      </c>
      <c r="B112" t="s">
        <v>91</v>
      </c>
      <c r="C112" t="s">
        <v>70</v>
      </c>
      <c r="D112" t="s">
        <v>33</v>
      </c>
      <c r="J112">
        <f t="shared" si="2"/>
        <v>0</v>
      </c>
      <c r="L112">
        <f t="shared" si="3"/>
        <v>0</v>
      </c>
    </row>
    <row r="113" spans="1:12" x14ac:dyDescent="0.25">
      <c r="A113">
        <v>1754</v>
      </c>
      <c r="B113" t="s">
        <v>20</v>
      </c>
      <c r="C113" t="s">
        <v>70</v>
      </c>
      <c r="D113" t="s">
        <v>33</v>
      </c>
      <c r="J113">
        <f t="shared" si="2"/>
        <v>0</v>
      </c>
      <c r="L113">
        <f t="shared" si="3"/>
        <v>0</v>
      </c>
    </row>
    <row r="114" spans="1:12" x14ac:dyDescent="0.25">
      <c r="A114">
        <v>1754</v>
      </c>
      <c r="B114" t="s">
        <v>21</v>
      </c>
      <c r="C114" t="s">
        <v>70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22</v>
      </c>
      <c r="C115" t="s">
        <v>70</v>
      </c>
      <c r="D115" t="s">
        <v>33</v>
      </c>
      <c r="J115">
        <f t="shared" si="2"/>
        <v>0</v>
      </c>
      <c r="L115">
        <f t="shared" si="3"/>
        <v>0</v>
      </c>
    </row>
    <row r="116" spans="1:12" x14ac:dyDescent="0.25">
      <c r="A116">
        <v>1754</v>
      </c>
      <c r="B116" t="s">
        <v>59</v>
      </c>
      <c r="C116" t="s">
        <v>70</v>
      </c>
      <c r="D116" t="s">
        <v>33</v>
      </c>
      <c r="J116">
        <f t="shared" si="2"/>
        <v>0</v>
      </c>
      <c r="L116">
        <f t="shared" si="3"/>
        <v>0</v>
      </c>
    </row>
    <row r="117" spans="1:12" x14ac:dyDescent="0.25">
      <c r="A117">
        <v>1754</v>
      </c>
      <c r="B117" t="s">
        <v>88</v>
      </c>
      <c r="C117" t="s">
        <v>70</v>
      </c>
      <c r="D117" t="s">
        <v>33</v>
      </c>
      <c r="J117">
        <f t="shared" si="2"/>
        <v>0</v>
      </c>
      <c r="L117">
        <f t="shared" si="3"/>
        <v>0</v>
      </c>
    </row>
    <row r="118" spans="1:12" x14ac:dyDescent="0.25">
      <c r="A118">
        <v>1754</v>
      </c>
      <c r="B118" t="s">
        <v>94</v>
      </c>
      <c r="C118" t="s">
        <v>70</v>
      </c>
      <c r="D118" t="s">
        <v>33</v>
      </c>
      <c r="J118">
        <f t="shared" si="2"/>
        <v>0</v>
      </c>
      <c r="L118">
        <f t="shared" si="3"/>
        <v>0</v>
      </c>
    </row>
    <row r="119" spans="1:12" x14ac:dyDescent="0.25">
      <c r="A119">
        <v>1754</v>
      </c>
      <c r="B119" t="s">
        <v>84</v>
      </c>
      <c r="C119" t="s">
        <v>70</v>
      </c>
      <c r="D119" t="s">
        <v>33</v>
      </c>
      <c r="J119">
        <f t="shared" si="2"/>
        <v>0</v>
      </c>
      <c r="L119">
        <f t="shared" si="3"/>
        <v>0</v>
      </c>
    </row>
    <row r="120" spans="1:12" x14ac:dyDescent="0.25">
      <c r="A120">
        <v>1754</v>
      </c>
      <c r="B120" t="s">
        <v>60</v>
      </c>
      <c r="C120" t="s">
        <v>70</v>
      </c>
      <c r="D120" t="s">
        <v>33</v>
      </c>
      <c r="J120">
        <f t="shared" si="2"/>
        <v>0</v>
      </c>
      <c r="L120">
        <f t="shared" si="3"/>
        <v>0</v>
      </c>
    </row>
    <row r="121" spans="1:12" x14ac:dyDescent="0.25">
      <c r="A121">
        <v>1754</v>
      </c>
      <c r="B121" t="s">
        <v>85</v>
      </c>
      <c r="C121" t="s">
        <v>70</v>
      </c>
      <c r="D121" t="s">
        <v>33</v>
      </c>
      <c r="J121">
        <f t="shared" si="2"/>
        <v>0</v>
      </c>
      <c r="L121">
        <f t="shared" si="3"/>
        <v>0</v>
      </c>
    </row>
    <row r="122" spans="1:12" x14ac:dyDescent="0.25">
      <c r="A122">
        <v>1754</v>
      </c>
      <c r="B122" t="s">
        <v>61</v>
      </c>
      <c r="C122" t="s">
        <v>70</v>
      </c>
      <c r="D122" t="s">
        <v>33</v>
      </c>
      <c r="J122">
        <f t="shared" si="2"/>
        <v>0</v>
      </c>
      <c r="L122">
        <f t="shared" si="3"/>
        <v>0</v>
      </c>
    </row>
    <row r="123" spans="1:12" x14ac:dyDescent="0.25">
      <c r="A123">
        <v>1754</v>
      </c>
      <c r="B123" t="s">
        <v>86</v>
      </c>
      <c r="C123" t="s">
        <v>70</v>
      </c>
      <c r="D123" t="s">
        <v>33</v>
      </c>
      <c r="J123">
        <f t="shared" si="2"/>
        <v>0</v>
      </c>
      <c r="L123">
        <f t="shared" si="3"/>
        <v>0</v>
      </c>
    </row>
    <row r="124" spans="1:12" x14ac:dyDescent="0.25">
      <c r="A124">
        <v>1754</v>
      </c>
      <c r="B124" t="s">
        <v>68</v>
      </c>
      <c r="C124" t="s">
        <v>70</v>
      </c>
      <c r="D124" t="s">
        <v>33</v>
      </c>
      <c r="J124">
        <f t="shared" si="2"/>
        <v>0</v>
      </c>
      <c r="L124">
        <f t="shared" si="3"/>
        <v>0</v>
      </c>
    </row>
    <row r="125" spans="1:12" x14ac:dyDescent="0.25">
      <c r="A125">
        <v>1754</v>
      </c>
      <c r="B125" t="s">
        <v>62</v>
      </c>
      <c r="C125" t="s">
        <v>70</v>
      </c>
      <c r="D125" t="s">
        <v>33</v>
      </c>
      <c r="J125">
        <f t="shared" si="2"/>
        <v>0</v>
      </c>
      <c r="L125">
        <f t="shared" si="3"/>
        <v>0</v>
      </c>
    </row>
    <row r="126" spans="1:12" x14ac:dyDescent="0.25">
      <c r="A126">
        <v>1754</v>
      </c>
      <c r="B126" t="s">
        <v>63</v>
      </c>
      <c r="C126" t="s">
        <v>70</v>
      </c>
      <c r="D126" t="s">
        <v>33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115" zoomScaleNormal="100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A2">
        <v>1754</v>
      </c>
      <c r="B2" t="s">
        <v>53</v>
      </c>
      <c r="C2" t="s">
        <v>71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A3">
        <v>1754</v>
      </c>
      <c r="B3" t="s">
        <v>55</v>
      </c>
      <c r="C3" t="s">
        <v>71</v>
      </c>
      <c r="D3" t="s">
        <v>31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1754</v>
      </c>
      <c r="B4" t="s">
        <v>34</v>
      </c>
      <c r="C4" t="s">
        <v>71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A5">
        <v>1754</v>
      </c>
      <c r="B5" t="s">
        <v>4</v>
      </c>
      <c r="C5" t="s">
        <v>71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A6">
        <v>1754</v>
      </c>
      <c r="B6" t="s">
        <v>56</v>
      </c>
      <c r="C6" t="s">
        <v>71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A7">
        <v>1754</v>
      </c>
      <c r="B7" t="s">
        <v>67</v>
      </c>
      <c r="C7" t="s">
        <v>71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A8">
        <v>1754</v>
      </c>
      <c r="B8" t="s">
        <v>41</v>
      </c>
      <c r="C8" t="s">
        <v>71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A9">
        <v>1754</v>
      </c>
      <c r="B9" t="s">
        <v>74</v>
      </c>
      <c r="C9" t="s">
        <v>71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A10">
        <v>1754</v>
      </c>
      <c r="B10" t="s">
        <v>5</v>
      </c>
      <c r="C10" t="s">
        <v>71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A11">
        <v>1754</v>
      </c>
      <c r="B11" t="s">
        <v>57</v>
      </c>
      <c r="C11" t="s">
        <v>71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A12">
        <v>1754</v>
      </c>
      <c r="B12" t="s">
        <v>6</v>
      </c>
      <c r="C12" t="s">
        <v>71</v>
      </c>
      <c r="D12" t="s">
        <v>31</v>
      </c>
      <c r="F12">
        <v>24568</v>
      </c>
      <c r="H12">
        <v>12</v>
      </c>
      <c r="J12">
        <f t="shared" si="0"/>
        <v>2751628</v>
      </c>
      <c r="L12">
        <f t="shared" si="1"/>
        <v>1228.4053571428572</v>
      </c>
    </row>
    <row r="13" spans="1:15" x14ac:dyDescent="0.25">
      <c r="A13">
        <v>1754</v>
      </c>
      <c r="B13" t="s">
        <v>92</v>
      </c>
      <c r="C13" t="s">
        <v>71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A14">
        <v>1754</v>
      </c>
      <c r="B14" t="s">
        <v>58</v>
      </c>
      <c r="C14" t="s">
        <v>71</v>
      </c>
      <c r="D14" t="s">
        <v>31</v>
      </c>
      <c r="J14">
        <f t="shared" si="0"/>
        <v>0</v>
      </c>
      <c r="L14">
        <f t="shared" si="1"/>
        <v>0</v>
      </c>
    </row>
    <row r="15" spans="1:15" x14ac:dyDescent="0.25">
      <c r="A15">
        <v>1754</v>
      </c>
      <c r="B15" t="s">
        <v>7</v>
      </c>
      <c r="C15" t="s">
        <v>71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A16">
        <v>1754</v>
      </c>
      <c r="B16" t="s">
        <v>35</v>
      </c>
      <c r="C16" t="s">
        <v>71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8</v>
      </c>
      <c r="C17" t="s">
        <v>71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38</v>
      </c>
      <c r="C18" t="s">
        <v>71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75</v>
      </c>
      <c r="C19" t="s">
        <v>71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>
        <v>1754</v>
      </c>
      <c r="B20" t="s">
        <v>76</v>
      </c>
      <c r="C20" t="s">
        <v>71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44</v>
      </c>
      <c r="C21" t="s">
        <v>71</v>
      </c>
      <c r="D21" t="s">
        <v>31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9</v>
      </c>
      <c r="C22" t="s">
        <v>71</v>
      </c>
      <c r="D22" t="s">
        <v>31</v>
      </c>
      <c r="H22">
        <f>54*200</f>
        <v>10800</v>
      </c>
      <c r="I22" t="s">
        <v>135</v>
      </c>
      <c r="J22">
        <f t="shared" si="0"/>
        <v>10800</v>
      </c>
      <c r="L22">
        <f t="shared" si="1"/>
        <v>4.8214285714285712</v>
      </c>
    </row>
    <row r="23" spans="1:12" x14ac:dyDescent="0.25">
      <c r="A23">
        <v>1754</v>
      </c>
      <c r="B23" t="s">
        <v>10</v>
      </c>
      <c r="C23" t="s">
        <v>71</v>
      </c>
      <c r="D23" t="s">
        <v>31</v>
      </c>
      <c r="J23">
        <f t="shared" si="0"/>
        <v>0</v>
      </c>
      <c r="L23">
        <f t="shared" si="1"/>
        <v>0</v>
      </c>
    </row>
    <row r="24" spans="1:12" x14ac:dyDescent="0.25">
      <c r="A24">
        <v>1754</v>
      </c>
      <c r="B24" t="s">
        <v>11</v>
      </c>
      <c r="C24" t="s">
        <v>71</v>
      </c>
      <c r="D24" t="s">
        <v>31</v>
      </c>
      <c r="J24">
        <f t="shared" si="0"/>
        <v>0</v>
      </c>
      <c r="L24">
        <f t="shared" si="1"/>
        <v>0</v>
      </c>
    </row>
    <row r="25" spans="1:12" x14ac:dyDescent="0.25">
      <c r="A25">
        <v>1754</v>
      </c>
      <c r="B25" t="s">
        <v>37</v>
      </c>
      <c r="C25" t="s">
        <v>71</v>
      </c>
      <c r="D25" t="s">
        <v>31</v>
      </c>
      <c r="J25">
        <f t="shared" si="0"/>
        <v>0</v>
      </c>
      <c r="L25">
        <f t="shared" si="1"/>
        <v>0</v>
      </c>
    </row>
    <row r="26" spans="1:12" x14ac:dyDescent="0.25">
      <c r="A26">
        <v>1754</v>
      </c>
      <c r="B26" t="s">
        <v>77</v>
      </c>
      <c r="C26" t="s">
        <v>71</v>
      </c>
      <c r="D26" t="s">
        <v>31</v>
      </c>
      <c r="J26">
        <f t="shared" si="0"/>
        <v>0</v>
      </c>
      <c r="L26">
        <f t="shared" si="1"/>
        <v>0</v>
      </c>
    </row>
    <row r="27" spans="1:12" x14ac:dyDescent="0.25">
      <c r="A27">
        <v>1754</v>
      </c>
      <c r="B27" t="s">
        <v>99</v>
      </c>
      <c r="C27" t="s">
        <v>71</v>
      </c>
      <c r="D27" t="s">
        <v>31</v>
      </c>
      <c r="J27">
        <f t="shared" si="0"/>
        <v>0</v>
      </c>
      <c r="L27">
        <f t="shared" si="1"/>
        <v>0</v>
      </c>
    </row>
    <row r="28" spans="1:12" x14ac:dyDescent="0.25">
      <c r="A28">
        <v>1754</v>
      </c>
      <c r="B28" t="s">
        <v>42</v>
      </c>
      <c r="C28" t="s">
        <v>71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93</v>
      </c>
      <c r="C29" t="s">
        <v>71</v>
      </c>
      <c r="D29" t="s">
        <v>31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12</v>
      </c>
      <c r="C30" t="s">
        <v>71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103</v>
      </c>
      <c r="C31" t="s">
        <v>71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32</v>
      </c>
      <c r="C32" t="s">
        <v>71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13</v>
      </c>
      <c r="C33" t="s">
        <v>71</v>
      </c>
      <c r="D33" t="s">
        <v>31</v>
      </c>
      <c r="J33">
        <f t="shared" si="0"/>
        <v>0</v>
      </c>
      <c r="L33">
        <f t="shared" si="1"/>
        <v>0</v>
      </c>
    </row>
    <row r="34" spans="1:12" x14ac:dyDescent="0.25">
      <c r="A34">
        <v>1754</v>
      </c>
      <c r="B34" t="s">
        <v>14</v>
      </c>
      <c r="C34" t="s">
        <v>71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23</v>
      </c>
      <c r="C35" t="s">
        <v>71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25</v>
      </c>
      <c r="C36" t="s">
        <v>71</v>
      </c>
      <c r="D36" t="s">
        <v>31</v>
      </c>
      <c r="H36">
        <v>3991</v>
      </c>
      <c r="I36" t="s">
        <v>133</v>
      </c>
      <c r="J36">
        <f t="shared" si="0"/>
        <v>3991</v>
      </c>
      <c r="L36">
        <f t="shared" si="1"/>
        <v>1.7816964285714285</v>
      </c>
    </row>
    <row r="37" spans="1:12" x14ac:dyDescent="0.25">
      <c r="A37">
        <v>1754</v>
      </c>
      <c r="B37" t="s">
        <v>15</v>
      </c>
      <c r="C37" t="s">
        <v>71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40</v>
      </c>
      <c r="C38" t="s">
        <v>71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80</v>
      </c>
      <c r="C39" t="s">
        <v>71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45</v>
      </c>
      <c r="C40" t="s">
        <v>71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16</v>
      </c>
      <c r="C41" t="s">
        <v>71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17</v>
      </c>
      <c r="C42" t="s">
        <v>71</v>
      </c>
      <c r="D42" t="s">
        <v>31</v>
      </c>
      <c r="J42">
        <f t="shared" si="0"/>
        <v>0</v>
      </c>
      <c r="L42">
        <f t="shared" si="1"/>
        <v>0</v>
      </c>
    </row>
    <row r="43" spans="1:12" x14ac:dyDescent="0.25">
      <c r="A43">
        <v>1754</v>
      </c>
      <c r="B43" t="s">
        <v>18</v>
      </c>
      <c r="C43" t="s">
        <v>71</v>
      </c>
      <c r="D43" t="s">
        <v>31</v>
      </c>
      <c r="H43">
        <v>19405</v>
      </c>
      <c r="I43" t="s">
        <v>132</v>
      </c>
      <c r="J43">
        <f t="shared" si="0"/>
        <v>19405</v>
      </c>
      <c r="L43">
        <f t="shared" si="1"/>
        <v>8.6629464285714288</v>
      </c>
    </row>
    <row r="44" spans="1:12" x14ac:dyDescent="0.25">
      <c r="A44">
        <v>1754</v>
      </c>
      <c r="B44" t="s">
        <v>24</v>
      </c>
      <c r="C44" t="s">
        <v>71</v>
      </c>
      <c r="D44" t="s">
        <v>31</v>
      </c>
      <c r="J44">
        <f t="shared" si="0"/>
        <v>0</v>
      </c>
      <c r="L44">
        <f t="shared" si="1"/>
        <v>0</v>
      </c>
    </row>
    <row r="45" spans="1:12" x14ac:dyDescent="0.25">
      <c r="A45">
        <v>1754</v>
      </c>
      <c r="B45" t="s">
        <v>81</v>
      </c>
      <c r="C45" t="s">
        <v>71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19</v>
      </c>
      <c r="C46" t="s">
        <v>71</v>
      </c>
      <c r="D46" t="s">
        <v>31</v>
      </c>
      <c r="J46">
        <f t="shared" si="0"/>
        <v>0</v>
      </c>
      <c r="L46">
        <f t="shared" si="1"/>
        <v>0</v>
      </c>
    </row>
    <row r="47" spans="1:12" x14ac:dyDescent="0.25">
      <c r="A47">
        <v>1754</v>
      </c>
      <c r="B47" t="s">
        <v>43</v>
      </c>
      <c r="C47" t="s">
        <v>71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>
        <v>1754</v>
      </c>
      <c r="B48" t="s">
        <v>82</v>
      </c>
      <c r="C48" t="s">
        <v>71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52</v>
      </c>
      <c r="C49" t="s">
        <v>71</v>
      </c>
      <c r="D49" t="s">
        <v>31</v>
      </c>
      <c r="H49">
        <v>27</v>
      </c>
      <c r="J49">
        <f t="shared" si="0"/>
        <v>27</v>
      </c>
      <c r="L49">
        <f t="shared" si="1"/>
        <v>1.2053571428571429E-2</v>
      </c>
    </row>
    <row r="50" spans="1:12" x14ac:dyDescent="0.25">
      <c r="A50">
        <v>1754</v>
      </c>
      <c r="B50" t="s">
        <v>91</v>
      </c>
      <c r="C50" t="s">
        <v>71</v>
      </c>
      <c r="D50" t="s">
        <v>31</v>
      </c>
      <c r="J50">
        <f t="shared" si="0"/>
        <v>0</v>
      </c>
      <c r="L50">
        <f t="shared" si="1"/>
        <v>0</v>
      </c>
    </row>
    <row r="51" spans="1:12" x14ac:dyDescent="0.25">
      <c r="A51">
        <v>1754</v>
      </c>
      <c r="B51" t="s">
        <v>20</v>
      </c>
      <c r="C51" t="s">
        <v>71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21</v>
      </c>
      <c r="C52" t="s">
        <v>71</v>
      </c>
      <c r="D52" t="s">
        <v>31</v>
      </c>
      <c r="J52">
        <f t="shared" si="0"/>
        <v>0</v>
      </c>
      <c r="L52">
        <f t="shared" si="1"/>
        <v>0</v>
      </c>
    </row>
    <row r="53" spans="1:12" x14ac:dyDescent="0.25">
      <c r="A53">
        <v>1754</v>
      </c>
      <c r="B53" t="s">
        <v>22</v>
      </c>
      <c r="C53" t="s">
        <v>71</v>
      </c>
      <c r="D53" t="s">
        <v>31</v>
      </c>
      <c r="J53">
        <f t="shared" si="0"/>
        <v>0</v>
      </c>
      <c r="L53">
        <f t="shared" si="1"/>
        <v>0</v>
      </c>
    </row>
    <row r="54" spans="1:12" x14ac:dyDescent="0.25">
      <c r="A54">
        <v>1754</v>
      </c>
      <c r="B54" t="s">
        <v>134</v>
      </c>
      <c r="C54" t="s">
        <v>71</v>
      </c>
      <c r="D54" t="s">
        <v>31</v>
      </c>
      <c r="E54">
        <v>1</v>
      </c>
      <c r="F54">
        <v>3</v>
      </c>
      <c r="G54">
        <v>2</v>
      </c>
      <c r="H54">
        <v>21</v>
      </c>
      <c r="J54">
        <f t="shared" si="0"/>
        <v>2653</v>
      </c>
      <c r="L54">
        <f t="shared" si="1"/>
        <v>1.184375</v>
      </c>
    </row>
    <row r="55" spans="1:12" x14ac:dyDescent="0.25">
      <c r="A55">
        <v>1754</v>
      </c>
      <c r="B55" t="s">
        <v>59</v>
      </c>
      <c r="C55" t="s">
        <v>71</v>
      </c>
      <c r="D55" t="s">
        <v>31</v>
      </c>
      <c r="E55">
        <v>6</v>
      </c>
      <c r="J55">
        <f t="shared" si="0"/>
        <v>13440</v>
      </c>
      <c r="L55">
        <f t="shared" si="1"/>
        <v>6</v>
      </c>
    </row>
    <row r="56" spans="1:12" x14ac:dyDescent="0.25">
      <c r="A56">
        <v>1754</v>
      </c>
      <c r="B56" t="s">
        <v>95</v>
      </c>
      <c r="C56" t="s">
        <v>71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84</v>
      </c>
      <c r="C57" t="s">
        <v>71</v>
      </c>
      <c r="D57" t="s">
        <v>31</v>
      </c>
      <c r="J57">
        <f t="shared" si="0"/>
        <v>0</v>
      </c>
      <c r="L57">
        <f t="shared" si="1"/>
        <v>0</v>
      </c>
    </row>
    <row r="58" spans="1:12" x14ac:dyDescent="0.25">
      <c r="A58">
        <v>1754</v>
      </c>
      <c r="B58" t="s">
        <v>60</v>
      </c>
      <c r="C58" t="s">
        <v>71</v>
      </c>
      <c r="D58" t="s">
        <v>31</v>
      </c>
      <c r="E58">
        <v>12</v>
      </c>
      <c r="J58">
        <f t="shared" si="0"/>
        <v>26880</v>
      </c>
      <c r="L58">
        <f t="shared" si="1"/>
        <v>12</v>
      </c>
    </row>
    <row r="59" spans="1:12" x14ac:dyDescent="0.25">
      <c r="A59">
        <v>1754</v>
      </c>
      <c r="B59" t="s">
        <v>85</v>
      </c>
      <c r="C59" t="s">
        <v>71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61</v>
      </c>
      <c r="C60" t="s">
        <v>71</v>
      </c>
      <c r="D60" t="s">
        <v>31</v>
      </c>
      <c r="J60">
        <f t="shared" si="0"/>
        <v>0</v>
      </c>
      <c r="L60">
        <f t="shared" si="1"/>
        <v>0</v>
      </c>
    </row>
    <row r="61" spans="1:12" x14ac:dyDescent="0.25">
      <c r="A61">
        <v>1754</v>
      </c>
      <c r="B61" t="s">
        <v>86</v>
      </c>
      <c r="C61" t="s">
        <v>71</v>
      </c>
      <c r="D61" t="s">
        <v>31</v>
      </c>
      <c r="E61">
        <v>1</v>
      </c>
      <c r="J61">
        <f t="shared" si="0"/>
        <v>2240</v>
      </c>
      <c r="L61">
        <f t="shared" si="1"/>
        <v>1</v>
      </c>
    </row>
    <row r="62" spans="1:12" x14ac:dyDescent="0.25">
      <c r="A62">
        <v>1754</v>
      </c>
      <c r="B62" t="s">
        <v>68</v>
      </c>
      <c r="C62" t="s">
        <v>71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62</v>
      </c>
      <c r="C63" t="s">
        <v>71</v>
      </c>
      <c r="D63" t="s">
        <v>31</v>
      </c>
      <c r="J63">
        <f t="shared" si="0"/>
        <v>0</v>
      </c>
      <c r="L63">
        <f t="shared" si="1"/>
        <v>0</v>
      </c>
    </row>
    <row r="64" spans="1:12" x14ac:dyDescent="0.25">
      <c r="A64">
        <v>1754</v>
      </c>
      <c r="B64" t="s">
        <v>63</v>
      </c>
      <c r="C64" t="s">
        <v>71</v>
      </c>
      <c r="D64" t="s">
        <v>31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53</v>
      </c>
      <c r="C65" t="s">
        <v>71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1754</v>
      </c>
      <c r="B66" t="s">
        <v>55</v>
      </c>
      <c r="C66" t="s">
        <v>71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34</v>
      </c>
      <c r="C67" t="s">
        <v>71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1754</v>
      </c>
      <c r="B68" t="s">
        <v>4</v>
      </c>
      <c r="C68" t="s">
        <v>71</v>
      </c>
      <c r="D68" t="s">
        <v>33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1754</v>
      </c>
      <c r="B69" t="s">
        <v>56</v>
      </c>
      <c r="C69" t="s">
        <v>71</v>
      </c>
      <c r="D69" t="s">
        <v>33</v>
      </c>
      <c r="J69">
        <f t="shared" si="2"/>
        <v>0</v>
      </c>
      <c r="L69">
        <f t="shared" si="3"/>
        <v>0</v>
      </c>
    </row>
    <row r="70" spans="1:12" x14ac:dyDescent="0.25">
      <c r="A70">
        <v>1754</v>
      </c>
      <c r="B70" t="s">
        <v>67</v>
      </c>
      <c r="C70" t="s">
        <v>71</v>
      </c>
      <c r="D70" t="s">
        <v>33</v>
      </c>
      <c r="J70">
        <f t="shared" si="2"/>
        <v>0</v>
      </c>
      <c r="L70">
        <f t="shared" si="3"/>
        <v>0</v>
      </c>
    </row>
    <row r="71" spans="1:12" x14ac:dyDescent="0.25">
      <c r="A71">
        <v>1754</v>
      </c>
      <c r="B71" t="s">
        <v>41</v>
      </c>
      <c r="C71" t="s">
        <v>71</v>
      </c>
      <c r="D71" t="s">
        <v>33</v>
      </c>
      <c r="J71">
        <f t="shared" si="2"/>
        <v>0</v>
      </c>
      <c r="L71">
        <f t="shared" si="3"/>
        <v>0</v>
      </c>
    </row>
    <row r="72" spans="1:12" x14ac:dyDescent="0.25">
      <c r="A72">
        <v>1754</v>
      </c>
      <c r="B72" t="s">
        <v>74</v>
      </c>
      <c r="C72" t="s">
        <v>71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5</v>
      </c>
      <c r="C73" t="s">
        <v>71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57</v>
      </c>
      <c r="C74" t="s">
        <v>71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>
        <v>1754</v>
      </c>
      <c r="B75" t="s">
        <v>6</v>
      </c>
      <c r="C75" t="s">
        <v>71</v>
      </c>
      <c r="D75" t="s">
        <v>33</v>
      </c>
      <c r="F75">
        <v>6168</v>
      </c>
      <c r="G75">
        <v>2</v>
      </c>
      <c r="H75">
        <v>16</v>
      </c>
      <c r="J75">
        <f t="shared" si="2"/>
        <v>690888</v>
      </c>
      <c r="L75">
        <f t="shared" si="3"/>
        <v>308.43214285714288</v>
      </c>
    </row>
    <row r="76" spans="1:12" x14ac:dyDescent="0.25">
      <c r="A76">
        <v>1754</v>
      </c>
      <c r="B76" t="s">
        <v>58</v>
      </c>
      <c r="C76" t="s">
        <v>71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7</v>
      </c>
      <c r="C77" t="s">
        <v>71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35</v>
      </c>
      <c r="C78" t="s">
        <v>71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8</v>
      </c>
      <c r="C79" t="s">
        <v>71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38</v>
      </c>
      <c r="C80" t="s">
        <v>71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75</v>
      </c>
      <c r="C81" t="s">
        <v>71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76</v>
      </c>
      <c r="C82" t="s">
        <v>71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44</v>
      </c>
      <c r="C83" t="s">
        <v>71</v>
      </c>
      <c r="D83" t="s">
        <v>33</v>
      </c>
      <c r="J83">
        <f t="shared" si="2"/>
        <v>0</v>
      </c>
      <c r="L83">
        <f t="shared" si="3"/>
        <v>0</v>
      </c>
    </row>
    <row r="84" spans="1:12" x14ac:dyDescent="0.25">
      <c r="A84">
        <v>1754</v>
      </c>
      <c r="B84" t="s">
        <v>9</v>
      </c>
      <c r="C84" t="s">
        <v>71</v>
      </c>
      <c r="D84" t="s">
        <v>33</v>
      </c>
      <c r="H84">
        <f>131.5*200</f>
        <v>26300</v>
      </c>
      <c r="I84" t="s">
        <v>160</v>
      </c>
      <c r="J84">
        <f t="shared" si="2"/>
        <v>26300</v>
      </c>
      <c r="L84">
        <f t="shared" si="3"/>
        <v>11.741071428571429</v>
      </c>
    </row>
    <row r="85" spans="1:12" x14ac:dyDescent="0.25">
      <c r="A85">
        <v>1754</v>
      </c>
      <c r="B85" t="s">
        <v>10</v>
      </c>
      <c r="C85" t="s">
        <v>71</v>
      </c>
      <c r="D85" t="s">
        <v>33</v>
      </c>
      <c r="J85">
        <f t="shared" si="2"/>
        <v>0</v>
      </c>
      <c r="L85">
        <f t="shared" si="3"/>
        <v>0</v>
      </c>
    </row>
    <row r="86" spans="1:12" x14ac:dyDescent="0.25">
      <c r="A86">
        <v>1754</v>
      </c>
      <c r="B86" t="s">
        <v>11</v>
      </c>
      <c r="C86" t="s">
        <v>71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>
        <v>1754</v>
      </c>
      <c r="B87" t="s">
        <v>37</v>
      </c>
      <c r="C87" t="s">
        <v>71</v>
      </c>
      <c r="D87" t="s">
        <v>33</v>
      </c>
      <c r="J87">
        <f t="shared" si="2"/>
        <v>0</v>
      </c>
      <c r="L87">
        <f t="shared" si="3"/>
        <v>0</v>
      </c>
    </row>
    <row r="88" spans="1:12" x14ac:dyDescent="0.25">
      <c r="A88">
        <v>1754</v>
      </c>
      <c r="B88" t="s">
        <v>77</v>
      </c>
      <c r="C88" t="s">
        <v>71</v>
      </c>
      <c r="D88" t="s">
        <v>33</v>
      </c>
      <c r="J88">
        <f t="shared" si="2"/>
        <v>0</v>
      </c>
      <c r="L88">
        <f t="shared" si="3"/>
        <v>0</v>
      </c>
    </row>
    <row r="89" spans="1:12" x14ac:dyDescent="0.25">
      <c r="A89">
        <v>1754</v>
      </c>
      <c r="B89" t="s">
        <v>99</v>
      </c>
      <c r="C89" t="s">
        <v>71</v>
      </c>
      <c r="D89" t="s">
        <v>33</v>
      </c>
      <c r="H89">
        <v>491</v>
      </c>
      <c r="J89">
        <f t="shared" si="2"/>
        <v>491</v>
      </c>
      <c r="L89">
        <f t="shared" si="3"/>
        <v>0.21919642857142857</v>
      </c>
    </row>
    <row r="90" spans="1:12" x14ac:dyDescent="0.25">
      <c r="A90">
        <v>1754</v>
      </c>
      <c r="B90" t="s">
        <v>42</v>
      </c>
      <c r="C90" t="s">
        <v>71</v>
      </c>
      <c r="D90" t="s">
        <v>33</v>
      </c>
      <c r="J90">
        <f t="shared" si="2"/>
        <v>0</v>
      </c>
      <c r="L90">
        <f t="shared" si="3"/>
        <v>0</v>
      </c>
    </row>
    <row r="91" spans="1:12" x14ac:dyDescent="0.25">
      <c r="A91">
        <v>1754</v>
      </c>
      <c r="B91" t="s">
        <v>93</v>
      </c>
      <c r="C91" t="s">
        <v>71</v>
      </c>
      <c r="D91" t="s">
        <v>33</v>
      </c>
      <c r="J91">
        <f t="shared" si="2"/>
        <v>0</v>
      </c>
      <c r="L91">
        <f t="shared" si="3"/>
        <v>0</v>
      </c>
    </row>
    <row r="92" spans="1:12" x14ac:dyDescent="0.25">
      <c r="A92">
        <v>1754</v>
      </c>
      <c r="B92" t="s">
        <v>12</v>
      </c>
      <c r="C92" t="s">
        <v>71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>
        <v>1754</v>
      </c>
      <c r="B93" t="s">
        <v>103</v>
      </c>
      <c r="C93" t="s">
        <v>71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>
        <v>1754</v>
      </c>
      <c r="B94" t="s">
        <v>32</v>
      </c>
      <c r="C94" t="s">
        <v>71</v>
      </c>
      <c r="D94" t="s">
        <v>33</v>
      </c>
      <c r="J94">
        <f t="shared" si="2"/>
        <v>0</v>
      </c>
      <c r="L94">
        <f t="shared" si="3"/>
        <v>0</v>
      </c>
    </row>
    <row r="95" spans="1:12" x14ac:dyDescent="0.25">
      <c r="A95">
        <v>1754</v>
      </c>
      <c r="B95" t="s">
        <v>13</v>
      </c>
      <c r="C95" t="s">
        <v>71</v>
      </c>
      <c r="D95" t="s">
        <v>33</v>
      </c>
      <c r="J95">
        <f t="shared" si="2"/>
        <v>0</v>
      </c>
      <c r="L95">
        <f t="shared" si="3"/>
        <v>0</v>
      </c>
    </row>
    <row r="96" spans="1:12" x14ac:dyDescent="0.25">
      <c r="A96">
        <v>1754</v>
      </c>
      <c r="B96" t="s">
        <v>14</v>
      </c>
      <c r="C96" t="s">
        <v>71</v>
      </c>
      <c r="D96" t="s">
        <v>33</v>
      </c>
      <c r="J96">
        <f t="shared" si="2"/>
        <v>0</v>
      </c>
      <c r="L96">
        <f t="shared" si="3"/>
        <v>0</v>
      </c>
    </row>
    <row r="97" spans="1:12" x14ac:dyDescent="0.25">
      <c r="A97">
        <v>1754</v>
      </c>
      <c r="B97" t="s">
        <v>23</v>
      </c>
      <c r="C97" t="s">
        <v>71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25</v>
      </c>
      <c r="C98" t="s">
        <v>71</v>
      </c>
      <c r="D98" t="s">
        <v>33</v>
      </c>
      <c r="H98">
        <v>10713</v>
      </c>
      <c r="I98" t="s">
        <v>159</v>
      </c>
      <c r="J98">
        <f t="shared" si="2"/>
        <v>10713</v>
      </c>
      <c r="L98">
        <f t="shared" si="3"/>
        <v>4.7825892857142858</v>
      </c>
    </row>
    <row r="99" spans="1:12" x14ac:dyDescent="0.25">
      <c r="A99">
        <v>1754</v>
      </c>
      <c r="B99" t="s">
        <v>15</v>
      </c>
      <c r="C99" t="s">
        <v>71</v>
      </c>
      <c r="D99" t="s">
        <v>33</v>
      </c>
      <c r="J99">
        <f t="shared" si="2"/>
        <v>0</v>
      </c>
      <c r="L99">
        <f t="shared" si="3"/>
        <v>0</v>
      </c>
    </row>
    <row r="100" spans="1:12" x14ac:dyDescent="0.25">
      <c r="A100">
        <v>1754</v>
      </c>
      <c r="B100" t="s">
        <v>89</v>
      </c>
      <c r="C100" t="s">
        <v>71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40</v>
      </c>
      <c r="C101" t="s">
        <v>71</v>
      </c>
      <c r="D101" t="s">
        <v>33</v>
      </c>
      <c r="J101">
        <f t="shared" si="2"/>
        <v>0</v>
      </c>
      <c r="L101">
        <f t="shared" si="3"/>
        <v>0</v>
      </c>
    </row>
    <row r="102" spans="1:12" x14ac:dyDescent="0.25">
      <c r="A102">
        <v>1754</v>
      </c>
      <c r="B102" t="s">
        <v>80</v>
      </c>
      <c r="C102" t="s">
        <v>71</v>
      </c>
      <c r="D102" t="s">
        <v>33</v>
      </c>
      <c r="J102">
        <f t="shared" si="2"/>
        <v>0</v>
      </c>
      <c r="L102">
        <f t="shared" si="3"/>
        <v>0</v>
      </c>
    </row>
    <row r="103" spans="1:12" x14ac:dyDescent="0.25">
      <c r="A103">
        <v>1754</v>
      </c>
      <c r="B103" t="s">
        <v>45</v>
      </c>
      <c r="C103" t="s">
        <v>71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16</v>
      </c>
      <c r="C104" t="s">
        <v>71</v>
      </c>
      <c r="D104" t="s">
        <v>33</v>
      </c>
      <c r="J104">
        <f t="shared" si="2"/>
        <v>0</v>
      </c>
      <c r="L104">
        <f t="shared" si="3"/>
        <v>0</v>
      </c>
    </row>
    <row r="105" spans="1:12" x14ac:dyDescent="0.25">
      <c r="A105">
        <v>1754</v>
      </c>
      <c r="B105" t="s">
        <v>17</v>
      </c>
      <c r="C105" t="s">
        <v>71</v>
      </c>
      <c r="D105" t="s">
        <v>33</v>
      </c>
      <c r="J105">
        <f t="shared" si="2"/>
        <v>0</v>
      </c>
      <c r="L105">
        <f t="shared" si="3"/>
        <v>0</v>
      </c>
    </row>
    <row r="106" spans="1:12" x14ac:dyDescent="0.25">
      <c r="A106">
        <v>1754</v>
      </c>
      <c r="B106" t="s">
        <v>18</v>
      </c>
      <c r="C106" t="s">
        <v>71</v>
      </c>
      <c r="D106" t="s">
        <v>33</v>
      </c>
      <c r="H106">
        <v>1750.5</v>
      </c>
      <c r="I106" t="s">
        <v>158</v>
      </c>
      <c r="J106">
        <f t="shared" si="2"/>
        <v>1750.5</v>
      </c>
      <c r="L106">
        <f t="shared" si="3"/>
        <v>0.78147321428571426</v>
      </c>
    </row>
    <row r="107" spans="1:12" x14ac:dyDescent="0.25">
      <c r="A107">
        <v>1754</v>
      </c>
      <c r="B107" t="s">
        <v>24</v>
      </c>
      <c r="C107" t="s">
        <v>71</v>
      </c>
      <c r="D107" t="s">
        <v>33</v>
      </c>
      <c r="J107">
        <f t="shared" si="2"/>
        <v>0</v>
      </c>
      <c r="L107">
        <f t="shared" si="3"/>
        <v>0</v>
      </c>
    </row>
    <row r="108" spans="1:12" x14ac:dyDescent="0.25">
      <c r="A108">
        <v>1754</v>
      </c>
      <c r="B108" t="s">
        <v>81</v>
      </c>
      <c r="C108" t="s">
        <v>71</v>
      </c>
      <c r="D108" t="s">
        <v>33</v>
      </c>
      <c r="J108">
        <f t="shared" si="2"/>
        <v>0</v>
      </c>
      <c r="L108">
        <f t="shared" si="3"/>
        <v>0</v>
      </c>
    </row>
    <row r="109" spans="1:12" x14ac:dyDescent="0.25">
      <c r="A109">
        <v>1754</v>
      </c>
      <c r="B109" t="s">
        <v>19</v>
      </c>
      <c r="C109" t="s">
        <v>71</v>
      </c>
      <c r="D109" t="s">
        <v>33</v>
      </c>
      <c r="G109">
        <v>3</v>
      </c>
      <c r="H109">
        <v>9</v>
      </c>
      <c r="J109">
        <f t="shared" si="2"/>
        <v>93</v>
      </c>
      <c r="L109">
        <f t="shared" si="3"/>
        <v>4.1517857142857141E-2</v>
      </c>
    </row>
    <row r="110" spans="1:12" x14ac:dyDescent="0.25">
      <c r="A110">
        <v>1754</v>
      </c>
      <c r="B110" t="s">
        <v>43</v>
      </c>
      <c r="C110" t="s">
        <v>71</v>
      </c>
      <c r="D110" t="s">
        <v>33</v>
      </c>
      <c r="J110">
        <f t="shared" si="2"/>
        <v>0</v>
      </c>
      <c r="L110">
        <f t="shared" si="3"/>
        <v>0</v>
      </c>
    </row>
    <row r="111" spans="1:12" x14ac:dyDescent="0.25">
      <c r="A111">
        <v>1754</v>
      </c>
      <c r="B111" t="s">
        <v>82</v>
      </c>
      <c r="C111" t="s">
        <v>71</v>
      </c>
      <c r="D111" t="s">
        <v>33</v>
      </c>
      <c r="J111">
        <f t="shared" si="2"/>
        <v>0</v>
      </c>
      <c r="L111">
        <f t="shared" si="3"/>
        <v>0</v>
      </c>
    </row>
    <row r="112" spans="1:12" x14ac:dyDescent="0.25">
      <c r="A112">
        <v>1754</v>
      </c>
      <c r="B112" t="s">
        <v>52</v>
      </c>
      <c r="C112" t="s">
        <v>71</v>
      </c>
      <c r="D112" t="s">
        <v>33</v>
      </c>
      <c r="J112">
        <f t="shared" si="2"/>
        <v>0</v>
      </c>
      <c r="L112">
        <f t="shared" si="3"/>
        <v>0</v>
      </c>
    </row>
    <row r="113" spans="1:12" x14ac:dyDescent="0.25">
      <c r="A113">
        <v>1754</v>
      </c>
      <c r="B113" t="s">
        <v>91</v>
      </c>
      <c r="C113" t="s">
        <v>71</v>
      </c>
      <c r="D113" t="s">
        <v>33</v>
      </c>
      <c r="J113">
        <f t="shared" si="2"/>
        <v>0</v>
      </c>
      <c r="L113">
        <f t="shared" si="3"/>
        <v>0</v>
      </c>
    </row>
    <row r="114" spans="1:12" x14ac:dyDescent="0.25">
      <c r="A114">
        <v>1754</v>
      </c>
      <c r="B114" t="s">
        <v>20</v>
      </c>
      <c r="C114" t="s">
        <v>71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21</v>
      </c>
      <c r="C115" t="s">
        <v>71</v>
      </c>
      <c r="D115" t="s">
        <v>33</v>
      </c>
      <c r="J115">
        <f t="shared" si="2"/>
        <v>0</v>
      </c>
      <c r="L115">
        <f t="shared" si="3"/>
        <v>0</v>
      </c>
    </row>
    <row r="116" spans="1:12" x14ac:dyDescent="0.25">
      <c r="A116">
        <v>1754</v>
      </c>
      <c r="B116" t="s">
        <v>22</v>
      </c>
      <c r="C116" t="s">
        <v>71</v>
      </c>
      <c r="D116" t="s">
        <v>33</v>
      </c>
      <c r="J116">
        <f t="shared" si="2"/>
        <v>0</v>
      </c>
      <c r="L116">
        <f t="shared" si="3"/>
        <v>0</v>
      </c>
    </row>
    <row r="117" spans="1:12" x14ac:dyDescent="0.25">
      <c r="A117">
        <v>1754</v>
      </c>
      <c r="B117" t="s">
        <v>59</v>
      </c>
      <c r="C117" t="s">
        <v>71</v>
      </c>
      <c r="D117" t="s">
        <v>33</v>
      </c>
      <c r="E117">
        <v>3</v>
      </c>
      <c r="J117">
        <f t="shared" si="2"/>
        <v>6720</v>
      </c>
      <c r="L117">
        <f t="shared" si="3"/>
        <v>3</v>
      </c>
    </row>
    <row r="118" spans="1:12" x14ac:dyDescent="0.25">
      <c r="A118">
        <v>1754</v>
      </c>
      <c r="B118" t="s">
        <v>88</v>
      </c>
      <c r="C118" t="s">
        <v>71</v>
      </c>
      <c r="D118" t="s">
        <v>33</v>
      </c>
      <c r="J118">
        <f t="shared" si="2"/>
        <v>0</v>
      </c>
      <c r="L118">
        <f t="shared" si="3"/>
        <v>0</v>
      </c>
    </row>
    <row r="119" spans="1:12" x14ac:dyDescent="0.25">
      <c r="A119">
        <v>1754</v>
      </c>
      <c r="B119" t="s">
        <v>94</v>
      </c>
      <c r="C119" t="s">
        <v>71</v>
      </c>
      <c r="D119" t="s">
        <v>33</v>
      </c>
      <c r="J119">
        <f t="shared" si="2"/>
        <v>0</v>
      </c>
      <c r="L119">
        <f t="shared" si="3"/>
        <v>0</v>
      </c>
    </row>
    <row r="120" spans="1:12" x14ac:dyDescent="0.25">
      <c r="A120">
        <v>1754</v>
      </c>
      <c r="B120" t="s">
        <v>84</v>
      </c>
      <c r="C120" t="s">
        <v>71</v>
      </c>
      <c r="D120" t="s">
        <v>33</v>
      </c>
      <c r="E120">
        <v>1</v>
      </c>
      <c r="F120">
        <v>10</v>
      </c>
      <c r="J120">
        <f t="shared" si="2"/>
        <v>3360</v>
      </c>
      <c r="L120">
        <f t="shared" si="3"/>
        <v>1.5</v>
      </c>
    </row>
    <row r="121" spans="1:12" x14ac:dyDescent="0.25">
      <c r="A121">
        <v>1754</v>
      </c>
      <c r="B121" t="s">
        <v>60</v>
      </c>
      <c r="C121" t="s">
        <v>71</v>
      </c>
      <c r="D121" t="s">
        <v>33</v>
      </c>
      <c r="E121">
        <v>9</v>
      </c>
      <c r="F121">
        <v>8</v>
      </c>
      <c r="G121">
        <v>1</v>
      </c>
      <c r="J121">
        <f t="shared" si="2"/>
        <v>21084</v>
      </c>
      <c r="L121">
        <f t="shared" si="3"/>
        <v>9.4124999999999996</v>
      </c>
    </row>
    <row r="122" spans="1:12" x14ac:dyDescent="0.25">
      <c r="A122">
        <v>1754</v>
      </c>
      <c r="B122" t="s">
        <v>85</v>
      </c>
      <c r="C122" t="s">
        <v>71</v>
      </c>
      <c r="D122" t="s">
        <v>33</v>
      </c>
      <c r="J122">
        <f t="shared" si="2"/>
        <v>0</v>
      </c>
      <c r="L122">
        <f t="shared" si="3"/>
        <v>0</v>
      </c>
    </row>
    <row r="123" spans="1:12" x14ac:dyDescent="0.25">
      <c r="A123">
        <v>1754</v>
      </c>
      <c r="B123" t="s">
        <v>61</v>
      </c>
      <c r="C123" t="s">
        <v>71</v>
      </c>
      <c r="D123" t="s">
        <v>33</v>
      </c>
      <c r="J123">
        <f t="shared" si="2"/>
        <v>0</v>
      </c>
      <c r="L123">
        <f t="shared" si="3"/>
        <v>0</v>
      </c>
    </row>
    <row r="124" spans="1:12" x14ac:dyDescent="0.25">
      <c r="A124">
        <v>1754</v>
      </c>
      <c r="B124" t="s">
        <v>86</v>
      </c>
      <c r="C124" t="s">
        <v>71</v>
      </c>
      <c r="D124" t="s">
        <v>33</v>
      </c>
      <c r="F124">
        <v>5</v>
      </c>
      <c r="J124">
        <f t="shared" si="2"/>
        <v>560</v>
      </c>
      <c r="L124">
        <f t="shared" si="3"/>
        <v>0.25</v>
      </c>
    </row>
    <row r="125" spans="1:12" x14ac:dyDescent="0.25">
      <c r="A125">
        <v>1754</v>
      </c>
      <c r="B125" t="s">
        <v>68</v>
      </c>
      <c r="C125" t="s">
        <v>71</v>
      </c>
      <c r="D125" t="s">
        <v>33</v>
      </c>
      <c r="J125">
        <f t="shared" si="2"/>
        <v>0</v>
      </c>
      <c r="L125">
        <f t="shared" si="3"/>
        <v>0</v>
      </c>
    </row>
    <row r="126" spans="1:12" x14ac:dyDescent="0.25">
      <c r="A126">
        <v>1754</v>
      </c>
      <c r="B126" t="s">
        <v>62</v>
      </c>
      <c r="C126" t="s">
        <v>71</v>
      </c>
      <c r="D126" t="s">
        <v>33</v>
      </c>
      <c r="J126">
        <f t="shared" si="2"/>
        <v>0</v>
      </c>
      <c r="L126">
        <f t="shared" si="3"/>
        <v>0</v>
      </c>
    </row>
    <row r="127" spans="1:12" x14ac:dyDescent="0.25">
      <c r="A127">
        <v>1754</v>
      </c>
      <c r="B127" t="s">
        <v>63</v>
      </c>
      <c r="C127" t="s">
        <v>71</v>
      </c>
      <c r="D127" t="s">
        <v>33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103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A2">
        <v>1754</v>
      </c>
      <c r="B2" t="s">
        <v>53</v>
      </c>
      <c r="C2" t="s">
        <v>72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A3">
        <v>1754</v>
      </c>
      <c r="B3" t="s">
        <v>55</v>
      </c>
      <c r="C3" t="s">
        <v>72</v>
      </c>
      <c r="D3" t="s">
        <v>31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1754</v>
      </c>
      <c r="B4" t="s">
        <v>34</v>
      </c>
      <c r="C4" t="s">
        <v>72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A5">
        <v>1754</v>
      </c>
      <c r="B5" t="s">
        <v>4</v>
      </c>
      <c r="C5" t="s">
        <v>72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A6">
        <v>1754</v>
      </c>
      <c r="B6" t="s">
        <v>56</v>
      </c>
      <c r="C6" t="s">
        <v>72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A7">
        <v>1754</v>
      </c>
      <c r="B7" t="s">
        <v>67</v>
      </c>
      <c r="C7" t="s">
        <v>72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A8">
        <v>1754</v>
      </c>
      <c r="B8" t="s">
        <v>41</v>
      </c>
      <c r="C8" t="s">
        <v>72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A9">
        <v>1754</v>
      </c>
      <c r="B9" t="s">
        <v>74</v>
      </c>
      <c r="C9" t="s">
        <v>72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A10">
        <v>1754</v>
      </c>
      <c r="B10" t="s">
        <v>5</v>
      </c>
      <c r="C10" t="s">
        <v>72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A11">
        <v>1754</v>
      </c>
      <c r="B11" t="s">
        <v>57</v>
      </c>
      <c r="C11" t="s">
        <v>72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A12">
        <v>1754</v>
      </c>
      <c r="B12" t="s">
        <v>6</v>
      </c>
      <c r="C12" t="s">
        <v>72</v>
      </c>
      <c r="D12" t="s">
        <v>31</v>
      </c>
      <c r="F12">
        <v>108109</v>
      </c>
      <c r="H12">
        <v>18</v>
      </c>
      <c r="J12">
        <f t="shared" si="0"/>
        <v>12108226</v>
      </c>
      <c r="L12">
        <f t="shared" si="1"/>
        <v>5405.4580357142859</v>
      </c>
    </row>
    <row r="13" spans="1:15" x14ac:dyDescent="0.25">
      <c r="A13">
        <v>1754</v>
      </c>
      <c r="B13" t="s">
        <v>92</v>
      </c>
      <c r="C13" t="s">
        <v>72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A14">
        <v>1754</v>
      </c>
      <c r="B14" t="s">
        <v>58</v>
      </c>
      <c r="C14" t="s">
        <v>72</v>
      </c>
      <c r="D14" t="s">
        <v>31</v>
      </c>
      <c r="J14">
        <f t="shared" si="0"/>
        <v>0</v>
      </c>
      <c r="L14">
        <f t="shared" si="1"/>
        <v>0</v>
      </c>
    </row>
    <row r="15" spans="1:15" x14ac:dyDescent="0.25">
      <c r="A15">
        <v>1754</v>
      </c>
      <c r="B15" t="s">
        <v>7</v>
      </c>
      <c r="C15" t="s">
        <v>72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A16">
        <v>1754</v>
      </c>
      <c r="B16" t="s">
        <v>35</v>
      </c>
      <c r="C16" t="s">
        <v>72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8</v>
      </c>
      <c r="C17" t="s">
        <v>72</v>
      </c>
      <c r="D17" t="s">
        <v>31</v>
      </c>
      <c r="F17">
        <v>1</v>
      </c>
      <c r="G17">
        <v>2</v>
      </c>
      <c r="H17">
        <v>23</v>
      </c>
      <c r="J17">
        <f t="shared" si="0"/>
        <v>191</v>
      </c>
      <c r="L17">
        <f t="shared" si="1"/>
        <v>8.5267857142857145E-2</v>
      </c>
    </row>
    <row r="18" spans="1:12" x14ac:dyDescent="0.25">
      <c r="A18">
        <v>1754</v>
      </c>
      <c r="B18" t="s">
        <v>38</v>
      </c>
      <c r="C18" t="s">
        <v>72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75</v>
      </c>
      <c r="C19" t="s">
        <v>72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>
        <v>1754</v>
      </c>
      <c r="B20" t="s">
        <v>76</v>
      </c>
      <c r="C20" t="s">
        <v>72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44</v>
      </c>
      <c r="C21" t="s">
        <v>72</v>
      </c>
      <c r="D21" t="s">
        <v>31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9</v>
      </c>
      <c r="C22" t="s">
        <v>72</v>
      </c>
      <c r="D22" t="s">
        <v>31</v>
      </c>
      <c r="H22">
        <f>121.5*200</f>
        <v>24300</v>
      </c>
      <c r="I22" t="s">
        <v>140</v>
      </c>
      <c r="J22">
        <f t="shared" si="0"/>
        <v>24300</v>
      </c>
      <c r="L22">
        <f t="shared" si="1"/>
        <v>10.848214285714286</v>
      </c>
    </row>
    <row r="23" spans="1:12" x14ac:dyDescent="0.25">
      <c r="A23">
        <v>1754</v>
      </c>
      <c r="B23" t="s">
        <v>10</v>
      </c>
      <c r="C23" t="s">
        <v>72</v>
      </c>
      <c r="D23" t="s">
        <v>31</v>
      </c>
      <c r="F23">
        <v>13</v>
      </c>
      <c r="G23">
        <v>1</v>
      </c>
      <c r="H23">
        <v>20</v>
      </c>
      <c r="J23">
        <f t="shared" si="0"/>
        <v>1504</v>
      </c>
      <c r="L23">
        <f t="shared" si="1"/>
        <v>0.67142857142857137</v>
      </c>
    </row>
    <row r="24" spans="1:12" x14ac:dyDescent="0.25">
      <c r="A24">
        <v>1754</v>
      </c>
      <c r="B24" t="s">
        <v>11</v>
      </c>
      <c r="C24" t="s">
        <v>72</v>
      </c>
      <c r="D24" t="s">
        <v>31</v>
      </c>
      <c r="F24">
        <v>6</v>
      </c>
      <c r="G24">
        <v>3</v>
      </c>
      <c r="H24">
        <v>6</v>
      </c>
      <c r="J24">
        <f t="shared" si="0"/>
        <v>762</v>
      </c>
      <c r="L24">
        <f t="shared" si="1"/>
        <v>0.34017857142857144</v>
      </c>
    </row>
    <row r="25" spans="1:12" x14ac:dyDescent="0.25">
      <c r="A25">
        <v>1754</v>
      </c>
      <c r="B25" t="s">
        <v>37</v>
      </c>
      <c r="C25" t="s">
        <v>72</v>
      </c>
      <c r="D25" t="s">
        <v>31</v>
      </c>
      <c r="J25">
        <f t="shared" si="0"/>
        <v>0</v>
      </c>
      <c r="L25">
        <f t="shared" si="1"/>
        <v>0</v>
      </c>
    </row>
    <row r="26" spans="1:12" x14ac:dyDescent="0.25">
      <c r="A26">
        <v>1754</v>
      </c>
      <c r="B26" t="s">
        <v>77</v>
      </c>
      <c r="C26" t="s">
        <v>72</v>
      </c>
      <c r="D26" t="s">
        <v>31</v>
      </c>
      <c r="J26">
        <f t="shared" si="0"/>
        <v>0</v>
      </c>
      <c r="L26">
        <f t="shared" si="1"/>
        <v>0</v>
      </c>
    </row>
    <row r="27" spans="1:12" x14ac:dyDescent="0.25">
      <c r="A27">
        <v>1754</v>
      </c>
      <c r="B27" t="s">
        <v>99</v>
      </c>
      <c r="C27" t="s">
        <v>72</v>
      </c>
      <c r="D27" t="s">
        <v>31</v>
      </c>
      <c r="H27">
        <v>1301</v>
      </c>
      <c r="J27">
        <f t="shared" si="0"/>
        <v>1301</v>
      </c>
      <c r="L27">
        <f t="shared" si="1"/>
        <v>0.58080357142857142</v>
      </c>
    </row>
    <row r="28" spans="1:12" x14ac:dyDescent="0.25">
      <c r="A28">
        <v>1754</v>
      </c>
      <c r="B28" t="s">
        <v>42</v>
      </c>
      <c r="C28" t="s">
        <v>72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93</v>
      </c>
      <c r="C29" t="s">
        <v>72</v>
      </c>
      <c r="D29" t="s">
        <v>31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12</v>
      </c>
      <c r="C30" t="s">
        <v>72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103</v>
      </c>
      <c r="C31" t="s">
        <v>72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32</v>
      </c>
      <c r="C32" t="s">
        <v>72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13</v>
      </c>
      <c r="C33" t="s">
        <v>72</v>
      </c>
      <c r="D33" t="s">
        <v>31</v>
      </c>
      <c r="E33">
        <v>36</v>
      </c>
      <c r="F33">
        <v>5</v>
      </c>
      <c r="G33">
        <v>2</v>
      </c>
      <c r="J33">
        <f t="shared" si="0"/>
        <v>81256</v>
      </c>
      <c r="L33">
        <f t="shared" si="1"/>
        <v>36.274999999999999</v>
      </c>
    </row>
    <row r="34" spans="1:12" x14ac:dyDescent="0.25">
      <c r="A34">
        <v>1754</v>
      </c>
      <c r="B34" t="s">
        <v>14</v>
      </c>
      <c r="C34" t="s">
        <v>72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23</v>
      </c>
      <c r="C35" t="s">
        <v>72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25</v>
      </c>
      <c r="C36" t="s">
        <v>72</v>
      </c>
      <c r="D36" t="s">
        <v>31</v>
      </c>
      <c r="H36">
        <v>130093.5</v>
      </c>
      <c r="I36" t="s">
        <v>138</v>
      </c>
      <c r="J36">
        <f t="shared" si="0"/>
        <v>130093.5</v>
      </c>
      <c r="L36">
        <f t="shared" si="1"/>
        <v>58.07745535714286</v>
      </c>
    </row>
    <row r="37" spans="1:12" x14ac:dyDescent="0.25">
      <c r="A37">
        <v>1754</v>
      </c>
      <c r="B37" t="s">
        <v>15</v>
      </c>
      <c r="C37" t="s">
        <v>72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40</v>
      </c>
      <c r="C38" t="s">
        <v>72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80</v>
      </c>
      <c r="C39" t="s">
        <v>72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45</v>
      </c>
      <c r="C40" t="s">
        <v>72</v>
      </c>
      <c r="D40" t="s">
        <v>31</v>
      </c>
      <c r="H40">
        <v>12.5</v>
      </c>
      <c r="I40" t="s">
        <v>136</v>
      </c>
      <c r="J40">
        <f t="shared" si="0"/>
        <v>12.5</v>
      </c>
      <c r="L40">
        <f t="shared" si="1"/>
        <v>5.580357142857143E-3</v>
      </c>
    </row>
    <row r="41" spans="1:12" x14ac:dyDescent="0.25">
      <c r="A41">
        <v>1754</v>
      </c>
      <c r="B41" t="s">
        <v>16</v>
      </c>
      <c r="C41" t="s">
        <v>72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125</v>
      </c>
      <c r="C42" t="s">
        <v>72</v>
      </c>
      <c r="D42" t="s">
        <v>31</v>
      </c>
      <c r="H42">
        <v>13423.5</v>
      </c>
      <c r="I42" t="s">
        <v>139</v>
      </c>
      <c r="J42">
        <f t="shared" si="0"/>
        <v>13423.5</v>
      </c>
      <c r="L42">
        <f t="shared" si="1"/>
        <v>5.9926339285714283</v>
      </c>
    </row>
    <row r="43" spans="1:12" x14ac:dyDescent="0.25">
      <c r="A43">
        <v>1754</v>
      </c>
      <c r="B43" t="s">
        <v>17</v>
      </c>
      <c r="C43" t="s">
        <v>72</v>
      </c>
      <c r="D43" t="s">
        <v>31</v>
      </c>
      <c r="J43">
        <f t="shared" si="0"/>
        <v>0</v>
      </c>
      <c r="L43">
        <f t="shared" si="1"/>
        <v>0</v>
      </c>
    </row>
    <row r="44" spans="1:12" x14ac:dyDescent="0.25">
      <c r="A44">
        <v>1754</v>
      </c>
      <c r="B44" t="s">
        <v>18</v>
      </c>
      <c r="C44" t="s">
        <v>72</v>
      </c>
      <c r="D44" t="s">
        <v>31</v>
      </c>
      <c r="H44">
        <v>134419.5</v>
      </c>
      <c r="I44" t="s">
        <v>137</v>
      </c>
      <c r="J44">
        <f t="shared" si="0"/>
        <v>134419.5</v>
      </c>
      <c r="L44">
        <f t="shared" si="1"/>
        <v>60.008705357142858</v>
      </c>
    </row>
    <row r="45" spans="1:12" x14ac:dyDescent="0.25">
      <c r="A45">
        <v>1754</v>
      </c>
      <c r="B45" t="s">
        <v>24</v>
      </c>
      <c r="C45" t="s">
        <v>72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81</v>
      </c>
      <c r="C46" t="s">
        <v>72</v>
      </c>
      <c r="D46" t="s">
        <v>31</v>
      </c>
      <c r="J46">
        <f t="shared" si="0"/>
        <v>0</v>
      </c>
      <c r="L46">
        <f t="shared" si="1"/>
        <v>0</v>
      </c>
    </row>
    <row r="47" spans="1:12" x14ac:dyDescent="0.25">
      <c r="A47">
        <v>1754</v>
      </c>
      <c r="B47" t="s">
        <v>19</v>
      </c>
      <c r="C47" t="s">
        <v>72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>
        <v>1754</v>
      </c>
      <c r="B48" t="s">
        <v>43</v>
      </c>
      <c r="C48" t="s">
        <v>72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82</v>
      </c>
      <c r="C49" t="s">
        <v>72</v>
      </c>
      <c r="D49" t="s">
        <v>31</v>
      </c>
      <c r="J49">
        <f t="shared" si="0"/>
        <v>0</v>
      </c>
      <c r="L49">
        <f t="shared" si="1"/>
        <v>0</v>
      </c>
    </row>
    <row r="50" spans="1:12" x14ac:dyDescent="0.25">
      <c r="A50">
        <v>1754</v>
      </c>
      <c r="B50" t="s">
        <v>52</v>
      </c>
      <c r="C50" t="s">
        <v>72</v>
      </c>
      <c r="D50" t="s">
        <v>31</v>
      </c>
      <c r="H50">
        <v>895</v>
      </c>
      <c r="J50">
        <f t="shared" si="0"/>
        <v>895</v>
      </c>
      <c r="L50">
        <f t="shared" si="1"/>
        <v>0.39955357142857145</v>
      </c>
    </row>
    <row r="51" spans="1:12" x14ac:dyDescent="0.25">
      <c r="A51">
        <v>1754</v>
      </c>
      <c r="B51" t="s">
        <v>91</v>
      </c>
      <c r="C51" t="s">
        <v>72</v>
      </c>
      <c r="D51" t="s">
        <v>31</v>
      </c>
      <c r="H51">
        <v>20</v>
      </c>
      <c r="J51">
        <f t="shared" si="0"/>
        <v>20</v>
      </c>
      <c r="L51">
        <f t="shared" si="1"/>
        <v>8.9285714285714281E-3</v>
      </c>
    </row>
    <row r="52" spans="1:12" x14ac:dyDescent="0.25">
      <c r="A52">
        <v>1754</v>
      </c>
      <c r="B52" t="s">
        <v>20</v>
      </c>
      <c r="C52" t="s">
        <v>72</v>
      </c>
      <c r="D52" t="s">
        <v>31</v>
      </c>
      <c r="J52">
        <f t="shared" si="0"/>
        <v>0</v>
      </c>
      <c r="L52">
        <f t="shared" si="1"/>
        <v>0</v>
      </c>
    </row>
    <row r="53" spans="1:12" x14ac:dyDescent="0.25">
      <c r="A53">
        <v>1754</v>
      </c>
      <c r="B53" t="s">
        <v>21</v>
      </c>
      <c r="C53" t="s">
        <v>72</v>
      </c>
      <c r="D53" t="s">
        <v>31</v>
      </c>
      <c r="H53">
        <v>52</v>
      </c>
      <c r="J53">
        <f t="shared" si="0"/>
        <v>52</v>
      </c>
      <c r="L53">
        <f t="shared" si="1"/>
        <v>2.3214285714285715E-2</v>
      </c>
    </row>
    <row r="54" spans="1:12" x14ac:dyDescent="0.25">
      <c r="A54">
        <v>1754</v>
      </c>
      <c r="B54" t="s">
        <v>22</v>
      </c>
      <c r="C54" t="s">
        <v>72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59</v>
      </c>
      <c r="C55" t="s">
        <v>72</v>
      </c>
      <c r="D55" t="s">
        <v>31</v>
      </c>
      <c r="J55">
        <f t="shared" si="0"/>
        <v>0</v>
      </c>
      <c r="L55">
        <f t="shared" si="1"/>
        <v>0</v>
      </c>
    </row>
    <row r="56" spans="1:12" x14ac:dyDescent="0.25">
      <c r="A56">
        <v>1754</v>
      </c>
      <c r="B56" t="s">
        <v>95</v>
      </c>
      <c r="C56" t="s">
        <v>72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84</v>
      </c>
      <c r="C57" t="s">
        <v>72</v>
      </c>
      <c r="D57" t="s">
        <v>31</v>
      </c>
      <c r="J57">
        <f t="shared" si="0"/>
        <v>0</v>
      </c>
      <c r="L57">
        <f t="shared" si="1"/>
        <v>0</v>
      </c>
    </row>
    <row r="58" spans="1:12" x14ac:dyDescent="0.25">
      <c r="A58">
        <v>1754</v>
      </c>
      <c r="B58" t="s">
        <v>60</v>
      </c>
      <c r="C58" t="s">
        <v>72</v>
      </c>
      <c r="D58" t="s">
        <v>31</v>
      </c>
      <c r="E58">
        <v>180</v>
      </c>
      <c r="F58">
        <v>12</v>
      </c>
      <c r="G58">
        <v>1</v>
      </c>
      <c r="J58">
        <f t="shared" si="0"/>
        <v>404572</v>
      </c>
      <c r="L58">
        <f t="shared" si="1"/>
        <v>180.61250000000001</v>
      </c>
    </row>
    <row r="59" spans="1:12" x14ac:dyDescent="0.25">
      <c r="A59">
        <v>1754</v>
      </c>
      <c r="B59" t="s">
        <v>85</v>
      </c>
      <c r="C59" t="s">
        <v>72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61</v>
      </c>
      <c r="C60" t="s">
        <v>72</v>
      </c>
      <c r="D60" t="s">
        <v>31</v>
      </c>
      <c r="E60">
        <v>65</v>
      </c>
      <c r="J60">
        <f t="shared" si="0"/>
        <v>145600</v>
      </c>
      <c r="L60">
        <f t="shared" si="1"/>
        <v>65</v>
      </c>
    </row>
    <row r="61" spans="1:12" x14ac:dyDescent="0.25">
      <c r="A61">
        <v>1754</v>
      </c>
      <c r="B61" t="s">
        <v>86</v>
      </c>
      <c r="C61" t="s">
        <v>72</v>
      </c>
      <c r="D61" t="s">
        <v>31</v>
      </c>
      <c r="J61">
        <f t="shared" si="0"/>
        <v>0</v>
      </c>
      <c r="L61">
        <f t="shared" si="1"/>
        <v>0</v>
      </c>
    </row>
    <row r="62" spans="1:12" x14ac:dyDescent="0.25">
      <c r="A62">
        <v>1754</v>
      </c>
      <c r="B62" t="s">
        <v>68</v>
      </c>
      <c r="C62" t="s">
        <v>72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62</v>
      </c>
      <c r="C63" t="s">
        <v>72</v>
      </c>
      <c r="D63" t="s">
        <v>31</v>
      </c>
      <c r="E63">
        <v>16</v>
      </c>
      <c r="J63">
        <f t="shared" si="0"/>
        <v>35840</v>
      </c>
      <c r="L63">
        <f t="shared" si="1"/>
        <v>16</v>
      </c>
    </row>
    <row r="64" spans="1:12" x14ac:dyDescent="0.25">
      <c r="A64">
        <v>1754</v>
      </c>
      <c r="B64" t="s">
        <v>63</v>
      </c>
      <c r="C64" t="s">
        <v>72</v>
      </c>
      <c r="D64" t="s">
        <v>31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53</v>
      </c>
      <c r="C65" t="s">
        <v>72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1754</v>
      </c>
      <c r="B66" t="s">
        <v>55</v>
      </c>
      <c r="C66" t="s">
        <v>72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34</v>
      </c>
      <c r="C67" t="s">
        <v>72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1754</v>
      </c>
      <c r="B68" t="s">
        <v>4</v>
      </c>
      <c r="C68" t="s">
        <v>72</v>
      </c>
      <c r="D68" t="s">
        <v>33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1754</v>
      </c>
      <c r="B69" t="s">
        <v>56</v>
      </c>
      <c r="C69" t="s">
        <v>72</v>
      </c>
      <c r="D69" t="s">
        <v>33</v>
      </c>
      <c r="J69">
        <f t="shared" si="2"/>
        <v>0</v>
      </c>
      <c r="L69">
        <f t="shared" si="3"/>
        <v>0</v>
      </c>
    </row>
    <row r="70" spans="1:12" x14ac:dyDescent="0.25">
      <c r="A70">
        <v>1754</v>
      </c>
      <c r="B70" t="s">
        <v>67</v>
      </c>
      <c r="C70" t="s">
        <v>72</v>
      </c>
      <c r="D70" t="s">
        <v>33</v>
      </c>
      <c r="J70">
        <f t="shared" si="2"/>
        <v>0</v>
      </c>
      <c r="L70">
        <f t="shared" si="3"/>
        <v>0</v>
      </c>
    </row>
    <row r="71" spans="1:12" x14ac:dyDescent="0.25">
      <c r="A71">
        <v>1754</v>
      </c>
      <c r="B71" t="s">
        <v>41</v>
      </c>
      <c r="C71" t="s">
        <v>72</v>
      </c>
      <c r="D71" t="s">
        <v>33</v>
      </c>
      <c r="J71">
        <f t="shared" si="2"/>
        <v>0</v>
      </c>
      <c r="L71">
        <f t="shared" si="3"/>
        <v>0</v>
      </c>
    </row>
    <row r="72" spans="1:12" x14ac:dyDescent="0.25">
      <c r="A72">
        <v>1754</v>
      </c>
      <c r="B72" t="s">
        <v>74</v>
      </c>
      <c r="C72" t="s">
        <v>72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5</v>
      </c>
      <c r="C73" t="s">
        <v>72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57</v>
      </c>
      <c r="C74" t="s">
        <v>72</v>
      </c>
      <c r="D74" t="s">
        <v>33</v>
      </c>
      <c r="J74">
        <f t="shared" si="2"/>
        <v>0</v>
      </c>
      <c r="L74">
        <f t="shared" si="3"/>
        <v>0</v>
      </c>
    </row>
    <row r="75" spans="1:12" x14ac:dyDescent="0.25">
      <c r="A75">
        <v>1754</v>
      </c>
      <c r="B75" t="s">
        <v>6</v>
      </c>
      <c r="C75" t="s">
        <v>72</v>
      </c>
      <c r="D75" t="s">
        <v>33</v>
      </c>
      <c r="F75">
        <v>10771</v>
      </c>
      <c r="G75">
        <v>3</v>
      </c>
      <c r="H75">
        <v>21</v>
      </c>
      <c r="J75">
        <f t="shared" si="2"/>
        <v>1206457</v>
      </c>
      <c r="L75">
        <f t="shared" si="3"/>
        <v>538.59687499999995</v>
      </c>
    </row>
    <row r="76" spans="1:12" x14ac:dyDescent="0.25">
      <c r="A76">
        <v>1754</v>
      </c>
      <c r="B76" t="s">
        <v>58</v>
      </c>
      <c r="C76" t="s">
        <v>72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7</v>
      </c>
      <c r="C77" t="s">
        <v>72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35</v>
      </c>
      <c r="C78" t="s">
        <v>72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8</v>
      </c>
      <c r="C79" t="s">
        <v>72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38</v>
      </c>
      <c r="C80" t="s">
        <v>72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75</v>
      </c>
      <c r="C81" t="s">
        <v>72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76</v>
      </c>
      <c r="C82" t="s">
        <v>72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44</v>
      </c>
      <c r="C83" t="s">
        <v>72</v>
      </c>
      <c r="D83" t="s">
        <v>33</v>
      </c>
      <c r="J83">
        <f t="shared" si="2"/>
        <v>0</v>
      </c>
      <c r="L83">
        <f t="shared" si="3"/>
        <v>0</v>
      </c>
    </row>
    <row r="84" spans="1:12" x14ac:dyDescent="0.25">
      <c r="A84">
        <v>1754</v>
      </c>
      <c r="B84" t="s">
        <v>9</v>
      </c>
      <c r="C84" t="s">
        <v>72</v>
      </c>
      <c r="D84" t="s">
        <v>33</v>
      </c>
      <c r="H84">
        <f>118.25*200</f>
        <v>23650</v>
      </c>
      <c r="I84" t="s">
        <v>163</v>
      </c>
      <c r="J84">
        <f t="shared" si="2"/>
        <v>23650</v>
      </c>
      <c r="L84">
        <f t="shared" si="3"/>
        <v>10.558035714285714</v>
      </c>
    </row>
    <row r="85" spans="1:12" x14ac:dyDescent="0.25">
      <c r="A85">
        <v>1754</v>
      </c>
      <c r="B85" t="s">
        <v>10</v>
      </c>
      <c r="C85" t="s">
        <v>72</v>
      </c>
      <c r="D85" t="s">
        <v>33</v>
      </c>
      <c r="F85">
        <v>1</v>
      </c>
      <c r="G85">
        <v>3</v>
      </c>
      <c r="H85">
        <v>24</v>
      </c>
      <c r="J85">
        <f t="shared" si="2"/>
        <v>220</v>
      </c>
      <c r="L85">
        <f t="shared" si="3"/>
        <v>9.8214285714285712E-2</v>
      </c>
    </row>
    <row r="86" spans="1:12" x14ac:dyDescent="0.25">
      <c r="A86">
        <v>1754</v>
      </c>
      <c r="B86" t="s">
        <v>11</v>
      </c>
      <c r="C86" t="s">
        <v>72</v>
      </c>
      <c r="D86" t="s">
        <v>33</v>
      </c>
      <c r="F86">
        <v>25</v>
      </c>
      <c r="G86">
        <v>3</v>
      </c>
      <c r="J86">
        <f t="shared" si="2"/>
        <v>2884</v>
      </c>
      <c r="L86">
        <f t="shared" si="3"/>
        <v>1.2875000000000001</v>
      </c>
    </row>
    <row r="87" spans="1:12" x14ac:dyDescent="0.25">
      <c r="A87">
        <v>1754</v>
      </c>
      <c r="B87" t="s">
        <v>37</v>
      </c>
      <c r="C87" t="s">
        <v>72</v>
      </c>
      <c r="D87" t="s">
        <v>33</v>
      </c>
      <c r="H87">
        <v>9</v>
      </c>
      <c r="J87">
        <f t="shared" si="2"/>
        <v>9</v>
      </c>
      <c r="L87">
        <f t="shared" si="3"/>
        <v>4.0178571428571425E-3</v>
      </c>
    </row>
    <row r="88" spans="1:12" x14ac:dyDescent="0.25">
      <c r="A88">
        <v>1754</v>
      </c>
      <c r="B88" t="s">
        <v>77</v>
      </c>
      <c r="C88" t="s">
        <v>72</v>
      </c>
      <c r="D88" t="s">
        <v>33</v>
      </c>
      <c r="J88">
        <f t="shared" si="2"/>
        <v>0</v>
      </c>
      <c r="L88">
        <f t="shared" si="3"/>
        <v>0</v>
      </c>
    </row>
    <row r="89" spans="1:12" x14ac:dyDescent="0.25">
      <c r="A89">
        <v>1754</v>
      </c>
      <c r="B89" t="s">
        <v>99</v>
      </c>
      <c r="C89" t="s">
        <v>72</v>
      </c>
      <c r="D89" t="s">
        <v>33</v>
      </c>
      <c r="H89">
        <v>379</v>
      </c>
      <c r="J89">
        <f t="shared" si="2"/>
        <v>379</v>
      </c>
      <c r="L89">
        <f t="shared" si="3"/>
        <v>0.16919642857142858</v>
      </c>
    </row>
    <row r="90" spans="1:12" x14ac:dyDescent="0.25">
      <c r="A90">
        <v>1754</v>
      </c>
      <c r="B90" t="s">
        <v>42</v>
      </c>
      <c r="C90" t="s">
        <v>72</v>
      </c>
      <c r="D90" t="s">
        <v>33</v>
      </c>
      <c r="J90">
        <f t="shared" si="2"/>
        <v>0</v>
      </c>
      <c r="L90">
        <f t="shared" si="3"/>
        <v>0</v>
      </c>
    </row>
    <row r="91" spans="1:12" x14ac:dyDescent="0.25">
      <c r="A91">
        <v>1754</v>
      </c>
      <c r="B91" t="s">
        <v>93</v>
      </c>
      <c r="C91" t="s">
        <v>72</v>
      </c>
      <c r="D91" t="s">
        <v>33</v>
      </c>
      <c r="J91">
        <f t="shared" si="2"/>
        <v>0</v>
      </c>
      <c r="L91">
        <f t="shared" si="3"/>
        <v>0</v>
      </c>
    </row>
    <row r="92" spans="1:12" x14ac:dyDescent="0.25">
      <c r="A92">
        <v>1754</v>
      </c>
      <c r="B92" t="s">
        <v>12</v>
      </c>
      <c r="C92" t="s">
        <v>72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>
        <v>1754</v>
      </c>
      <c r="B93" t="s">
        <v>103</v>
      </c>
      <c r="C93" t="s">
        <v>72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>
        <v>1754</v>
      </c>
      <c r="B94" t="s">
        <v>32</v>
      </c>
      <c r="C94" t="s">
        <v>72</v>
      </c>
      <c r="D94" t="s">
        <v>33</v>
      </c>
      <c r="J94">
        <f t="shared" si="2"/>
        <v>0</v>
      </c>
      <c r="L94">
        <f t="shared" si="3"/>
        <v>0</v>
      </c>
    </row>
    <row r="95" spans="1:12" x14ac:dyDescent="0.25">
      <c r="A95">
        <v>1754</v>
      </c>
      <c r="B95" t="s">
        <v>13</v>
      </c>
      <c r="C95" t="s">
        <v>72</v>
      </c>
      <c r="D95" t="s">
        <v>33</v>
      </c>
      <c r="E95">
        <v>28</v>
      </c>
      <c r="F95">
        <v>3</v>
      </c>
      <c r="G95">
        <v>1</v>
      </c>
      <c r="H95">
        <v>17</v>
      </c>
      <c r="J95">
        <f t="shared" si="2"/>
        <v>63101</v>
      </c>
      <c r="L95">
        <f t="shared" si="3"/>
        <v>28.170089285714287</v>
      </c>
    </row>
    <row r="96" spans="1:12" x14ac:dyDescent="0.25">
      <c r="A96">
        <v>1754</v>
      </c>
      <c r="B96" t="s">
        <v>14</v>
      </c>
      <c r="C96" t="s">
        <v>72</v>
      </c>
      <c r="D96" t="s">
        <v>33</v>
      </c>
      <c r="J96">
        <f t="shared" si="2"/>
        <v>0</v>
      </c>
      <c r="L96">
        <f t="shared" si="3"/>
        <v>0</v>
      </c>
    </row>
    <row r="97" spans="1:12" x14ac:dyDescent="0.25">
      <c r="A97">
        <v>1754</v>
      </c>
      <c r="B97" t="s">
        <v>23</v>
      </c>
      <c r="C97" t="s">
        <v>72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25</v>
      </c>
      <c r="C98" t="s">
        <v>72</v>
      </c>
      <c r="D98" t="s">
        <v>33</v>
      </c>
      <c r="H98">
        <v>3941</v>
      </c>
      <c r="I98" t="s">
        <v>162</v>
      </c>
      <c r="J98">
        <f t="shared" si="2"/>
        <v>3941</v>
      </c>
      <c r="L98">
        <f t="shared" si="3"/>
        <v>1.7593749999999999</v>
      </c>
    </row>
    <row r="99" spans="1:12" x14ac:dyDescent="0.25">
      <c r="A99">
        <v>1754</v>
      </c>
      <c r="B99" t="s">
        <v>15</v>
      </c>
      <c r="C99" t="s">
        <v>72</v>
      </c>
      <c r="D99" t="s">
        <v>33</v>
      </c>
      <c r="J99">
        <f t="shared" si="2"/>
        <v>0</v>
      </c>
      <c r="L99">
        <f t="shared" si="3"/>
        <v>0</v>
      </c>
    </row>
    <row r="100" spans="1:12" x14ac:dyDescent="0.25">
      <c r="A100">
        <v>1754</v>
      </c>
      <c r="B100" t="s">
        <v>89</v>
      </c>
      <c r="C100" t="s">
        <v>72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40</v>
      </c>
      <c r="C101" t="s">
        <v>72</v>
      </c>
      <c r="D101" t="s">
        <v>33</v>
      </c>
      <c r="J101">
        <f t="shared" si="2"/>
        <v>0</v>
      </c>
      <c r="L101">
        <f t="shared" si="3"/>
        <v>0</v>
      </c>
    </row>
    <row r="102" spans="1:12" x14ac:dyDescent="0.25">
      <c r="A102">
        <v>1754</v>
      </c>
      <c r="B102" t="s">
        <v>80</v>
      </c>
      <c r="C102" t="s">
        <v>72</v>
      </c>
      <c r="D102" t="s">
        <v>33</v>
      </c>
      <c r="J102">
        <f t="shared" si="2"/>
        <v>0</v>
      </c>
      <c r="L102">
        <f t="shared" si="3"/>
        <v>0</v>
      </c>
    </row>
    <row r="103" spans="1:12" x14ac:dyDescent="0.25">
      <c r="A103">
        <v>1754</v>
      </c>
      <c r="B103" t="s">
        <v>45</v>
      </c>
      <c r="C103" t="s">
        <v>72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16</v>
      </c>
      <c r="C104" t="s">
        <v>72</v>
      </c>
      <c r="D104" t="s">
        <v>33</v>
      </c>
      <c r="J104">
        <f t="shared" si="2"/>
        <v>0</v>
      </c>
      <c r="L104">
        <f t="shared" si="3"/>
        <v>0</v>
      </c>
    </row>
    <row r="105" spans="1:12" x14ac:dyDescent="0.25">
      <c r="A105">
        <v>1754</v>
      </c>
      <c r="B105" t="s">
        <v>17</v>
      </c>
      <c r="C105" t="s">
        <v>72</v>
      </c>
      <c r="D105" t="s">
        <v>33</v>
      </c>
      <c r="F105">
        <v>50</v>
      </c>
      <c r="G105">
        <v>3</v>
      </c>
      <c r="H105">
        <v>22</v>
      </c>
      <c r="J105">
        <f t="shared" si="2"/>
        <v>5706</v>
      </c>
      <c r="L105">
        <f t="shared" si="3"/>
        <v>2.5473214285714287</v>
      </c>
    </row>
    <row r="106" spans="1:12" x14ac:dyDescent="0.25">
      <c r="A106">
        <v>1754</v>
      </c>
      <c r="B106" t="s">
        <v>18</v>
      </c>
      <c r="C106" t="s">
        <v>72</v>
      </c>
      <c r="D106" t="s">
        <v>33</v>
      </c>
      <c r="H106">
        <v>27077</v>
      </c>
      <c r="I106" t="s">
        <v>161</v>
      </c>
      <c r="J106">
        <f t="shared" si="2"/>
        <v>27077</v>
      </c>
      <c r="L106">
        <f t="shared" si="3"/>
        <v>12.087946428571428</v>
      </c>
    </row>
    <row r="107" spans="1:12" x14ac:dyDescent="0.25">
      <c r="A107">
        <v>1754</v>
      </c>
      <c r="B107" t="s">
        <v>24</v>
      </c>
      <c r="C107" t="s">
        <v>72</v>
      </c>
      <c r="D107" t="s">
        <v>33</v>
      </c>
      <c r="H107">
        <v>109</v>
      </c>
      <c r="J107">
        <f t="shared" si="2"/>
        <v>109</v>
      </c>
      <c r="L107">
        <f t="shared" si="3"/>
        <v>4.8660714285714286E-2</v>
      </c>
    </row>
    <row r="108" spans="1:12" x14ac:dyDescent="0.25">
      <c r="A108">
        <v>1754</v>
      </c>
      <c r="B108" t="s">
        <v>81</v>
      </c>
      <c r="C108" t="s">
        <v>72</v>
      </c>
      <c r="D108" t="s">
        <v>33</v>
      </c>
      <c r="J108">
        <f t="shared" si="2"/>
        <v>0</v>
      </c>
      <c r="L108">
        <f t="shared" si="3"/>
        <v>0</v>
      </c>
    </row>
    <row r="109" spans="1:12" x14ac:dyDescent="0.25">
      <c r="A109">
        <v>1754</v>
      </c>
      <c r="B109" t="s">
        <v>19</v>
      </c>
      <c r="C109" t="s">
        <v>72</v>
      </c>
      <c r="D109" t="s">
        <v>33</v>
      </c>
      <c r="F109">
        <v>6</v>
      </c>
      <c r="G109">
        <v>2</v>
      </c>
      <c r="H109">
        <v>18</v>
      </c>
      <c r="J109">
        <f t="shared" si="2"/>
        <v>746</v>
      </c>
      <c r="L109">
        <f t="shared" si="3"/>
        <v>0.33303571428571427</v>
      </c>
    </row>
    <row r="110" spans="1:12" x14ac:dyDescent="0.25">
      <c r="A110">
        <v>1754</v>
      </c>
      <c r="B110" t="s">
        <v>43</v>
      </c>
      <c r="C110" t="s">
        <v>72</v>
      </c>
      <c r="D110" t="s">
        <v>33</v>
      </c>
      <c r="J110">
        <f t="shared" si="2"/>
        <v>0</v>
      </c>
      <c r="L110">
        <f t="shared" si="3"/>
        <v>0</v>
      </c>
    </row>
    <row r="111" spans="1:12" x14ac:dyDescent="0.25">
      <c r="A111">
        <v>1754</v>
      </c>
      <c r="B111" t="s">
        <v>82</v>
      </c>
      <c r="C111" t="s">
        <v>72</v>
      </c>
      <c r="D111" t="s">
        <v>33</v>
      </c>
      <c r="J111">
        <f t="shared" si="2"/>
        <v>0</v>
      </c>
      <c r="L111">
        <f t="shared" si="3"/>
        <v>0</v>
      </c>
    </row>
    <row r="112" spans="1:12" x14ac:dyDescent="0.25">
      <c r="A112">
        <v>1754</v>
      </c>
      <c r="B112" t="s">
        <v>52</v>
      </c>
      <c r="C112" t="s">
        <v>72</v>
      </c>
      <c r="D112" t="s">
        <v>33</v>
      </c>
      <c r="H112">
        <v>75</v>
      </c>
      <c r="J112">
        <f t="shared" si="2"/>
        <v>75</v>
      </c>
      <c r="L112">
        <f t="shared" si="3"/>
        <v>3.3482142857142856E-2</v>
      </c>
    </row>
    <row r="113" spans="1:12" x14ac:dyDescent="0.25">
      <c r="A113">
        <v>1754</v>
      </c>
      <c r="B113" t="s">
        <v>91</v>
      </c>
      <c r="C113" t="s">
        <v>72</v>
      </c>
      <c r="D113" t="s">
        <v>33</v>
      </c>
      <c r="J113">
        <f t="shared" si="2"/>
        <v>0</v>
      </c>
      <c r="L113">
        <f t="shared" si="3"/>
        <v>0</v>
      </c>
    </row>
    <row r="114" spans="1:12" x14ac:dyDescent="0.25">
      <c r="A114">
        <v>1754</v>
      </c>
      <c r="B114" t="s">
        <v>20</v>
      </c>
      <c r="C114" t="s">
        <v>72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21</v>
      </c>
      <c r="C115" t="s">
        <v>72</v>
      </c>
      <c r="D115" t="s">
        <v>33</v>
      </c>
      <c r="H115">
        <v>14</v>
      </c>
      <c r="J115">
        <f t="shared" si="2"/>
        <v>14</v>
      </c>
      <c r="L115">
        <f t="shared" si="3"/>
        <v>6.2500000000000003E-3</v>
      </c>
    </row>
    <row r="116" spans="1:12" x14ac:dyDescent="0.25">
      <c r="A116">
        <v>1754</v>
      </c>
      <c r="B116" t="s">
        <v>22</v>
      </c>
      <c r="C116" t="s">
        <v>72</v>
      </c>
      <c r="D116" t="s">
        <v>33</v>
      </c>
      <c r="J116">
        <f t="shared" si="2"/>
        <v>0</v>
      </c>
      <c r="L116">
        <f t="shared" si="3"/>
        <v>0</v>
      </c>
    </row>
    <row r="117" spans="1:12" x14ac:dyDescent="0.25">
      <c r="A117">
        <v>1754</v>
      </c>
      <c r="B117" t="s">
        <v>59</v>
      </c>
      <c r="C117" t="s">
        <v>72</v>
      </c>
      <c r="D117" t="s">
        <v>33</v>
      </c>
      <c r="J117">
        <f t="shared" si="2"/>
        <v>0</v>
      </c>
      <c r="L117">
        <f t="shared" si="3"/>
        <v>0</v>
      </c>
    </row>
    <row r="118" spans="1:12" x14ac:dyDescent="0.25">
      <c r="A118">
        <v>1754</v>
      </c>
      <c r="B118" t="s">
        <v>88</v>
      </c>
      <c r="C118" t="s">
        <v>72</v>
      </c>
      <c r="D118" t="s">
        <v>33</v>
      </c>
      <c r="J118">
        <f t="shared" si="2"/>
        <v>0</v>
      </c>
      <c r="L118">
        <f t="shared" si="3"/>
        <v>0</v>
      </c>
    </row>
    <row r="119" spans="1:12" x14ac:dyDescent="0.25">
      <c r="A119">
        <v>1754</v>
      </c>
      <c r="B119" t="s">
        <v>94</v>
      </c>
      <c r="C119" t="s">
        <v>72</v>
      </c>
      <c r="D119" t="s">
        <v>33</v>
      </c>
      <c r="J119">
        <f t="shared" si="2"/>
        <v>0</v>
      </c>
      <c r="L119">
        <f t="shared" si="3"/>
        <v>0</v>
      </c>
    </row>
    <row r="120" spans="1:12" x14ac:dyDescent="0.25">
      <c r="A120">
        <v>1754</v>
      </c>
      <c r="B120" t="s">
        <v>84</v>
      </c>
      <c r="C120" t="s">
        <v>72</v>
      </c>
      <c r="D120" t="s">
        <v>33</v>
      </c>
      <c r="J120">
        <f t="shared" si="2"/>
        <v>0</v>
      </c>
      <c r="L120">
        <f t="shared" si="3"/>
        <v>0</v>
      </c>
    </row>
    <row r="121" spans="1:12" x14ac:dyDescent="0.25">
      <c r="A121">
        <v>1754</v>
      </c>
      <c r="B121" t="s">
        <v>60</v>
      </c>
      <c r="C121" t="s">
        <v>72</v>
      </c>
      <c r="D121" t="s">
        <v>33</v>
      </c>
      <c r="E121">
        <v>192</v>
      </c>
      <c r="F121">
        <v>1</v>
      </c>
      <c r="H121">
        <v>10</v>
      </c>
      <c r="J121">
        <f t="shared" si="2"/>
        <v>430202</v>
      </c>
      <c r="L121">
        <f t="shared" si="3"/>
        <v>192.05446428571429</v>
      </c>
    </row>
    <row r="122" spans="1:12" x14ac:dyDescent="0.25">
      <c r="A122">
        <v>1754</v>
      </c>
      <c r="B122" t="s">
        <v>85</v>
      </c>
      <c r="C122" t="s">
        <v>72</v>
      </c>
      <c r="D122" t="s">
        <v>33</v>
      </c>
      <c r="J122">
        <f t="shared" si="2"/>
        <v>0</v>
      </c>
      <c r="L122">
        <f t="shared" si="3"/>
        <v>0</v>
      </c>
    </row>
    <row r="123" spans="1:12" x14ac:dyDescent="0.25">
      <c r="A123">
        <v>1754</v>
      </c>
      <c r="B123" t="s">
        <v>61</v>
      </c>
      <c r="C123" t="s">
        <v>72</v>
      </c>
      <c r="D123" t="s">
        <v>33</v>
      </c>
      <c r="E123">
        <v>27</v>
      </c>
      <c r="G123">
        <v>2</v>
      </c>
      <c r="H123">
        <v>27</v>
      </c>
      <c r="J123">
        <f t="shared" si="2"/>
        <v>60563</v>
      </c>
      <c r="L123">
        <f t="shared" si="3"/>
        <v>27.037053571428572</v>
      </c>
    </row>
    <row r="124" spans="1:12" x14ac:dyDescent="0.25">
      <c r="A124">
        <v>1754</v>
      </c>
      <c r="B124" t="s">
        <v>86</v>
      </c>
      <c r="C124" t="s">
        <v>72</v>
      </c>
      <c r="D124" t="s">
        <v>33</v>
      </c>
      <c r="F124">
        <v>10</v>
      </c>
      <c r="J124">
        <f t="shared" si="2"/>
        <v>1120</v>
      </c>
      <c r="L124">
        <f t="shared" si="3"/>
        <v>0.5</v>
      </c>
    </row>
    <row r="125" spans="1:12" x14ac:dyDescent="0.25">
      <c r="A125">
        <v>1754</v>
      </c>
      <c r="B125" t="s">
        <v>68</v>
      </c>
      <c r="C125" t="s">
        <v>72</v>
      </c>
      <c r="D125" t="s">
        <v>33</v>
      </c>
      <c r="J125">
        <f t="shared" si="2"/>
        <v>0</v>
      </c>
      <c r="L125">
        <f t="shared" si="3"/>
        <v>0</v>
      </c>
    </row>
    <row r="126" spans="1:12" x14ac:dyDescent="0.25">
      <c r="A126">
        <v>1754</v>
      </c>
      <c r="B126" t="s">
        <v>62</v>
      </c>
      <c r="C126" t="s">
        <v>72</v>
      </c>
      <c r="D126" t="s">
        <v>33</v>
      </c>
      <c r="E126">
        <v>13</v>
      </c>
      <c r="F126">
        <v>14</v>
      </c>
      <c r="G126">
        <v>3</v>
      </c>
      <c r="J126">
        <f t="shared" si="2"/>
        <v>30772</v>
      </c>
      <c r="L126">
        <f t="shared" si="3"/>
        <v>13.737500000000001</v>
      </c>
    </row>
    <row r="127" spans="1:12" x14ac:dyDescent="0.25">
      <c r="A127">
        <v>1754</v>
      </c>
      <c r="B127" t="s">
        <v>63</v>
      </c>
      <c r="C127" t="s">
        <v>72</v>
      </c>
      <c r="D127" t="s">
        <v>33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A2">
        <v>1754</v>
      </c>
      <c r="B2" t="s">
        <v>53</v>
      </c>
      <c r="C2" t="s">
        <v>90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A3">
        <v>1754</v>
      </c>
      <c r="B3" t="s">
        <v>55</v>
      </c>
      <c r="C3" t="s">
        <v>90</v>
      </c>
      <c r="D3" t="s">
        <v>31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1754</v>
      </c>
      <c r="B4" t="s">
        <v>34</v>
      </c>
      <c r="C4" t="s">
        <v>90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A5">
        <v>1754</v>
      </c>
      <c r="B5" t="s">
        <v>4</v>
      </c>
      <c r="C5" t="s">
        <v>90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A6">
        <v>1754</v>
      </c>
      <c r="B6" t="s">
        <v>56</v>
      </c>
      <c r="C6" t="s">
        <v>90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A7">
        <v>1754</v>
      </c>
      <c r="B7" t="s">
        <v>67</v>
      </c>
      <c r="C7" t="s">
        <v>90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A8">
        <v>1754</v>
      </c>
      <c r="B8" t="s">
        <v>41</v>
      </c>
      <c r="C8" t="s">
        <v>90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A9">
        <v>1754</v>
      </c>
      <c r="B9" t="s">
        <v>74</v>
      </c>
      <c r="C9" t="s">
        <v>90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A10">
        <v>1754</v>
      </c>
      <c r="B10" t="s">
        <v>5</v>
      </c>
      <c r="C10" t="s">
        <v>90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A11">
        <v>1754</v>
      </c>
      <c r="B11" t="s">
        <v>57</v>
      </c>
      <c r="C11" t="s">
        <v>90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A12">
        <v>1754</v>
      </c>
      <c r="B12" t="s">
        <v>6</v>
      </c>
      <c r="C12" t="s">
        <v>90</v>
      </c>
      <c r="D12" t="s">
        <v>31</v>
      </c>
      <c r="F12">
        <v>1140</v>
      </c>
      <c r="J12">
        <f t="shared" si="0"/>
        <v>127680</v>
      </c>
      <c r="L12">
        <f t="shared" si="1"/>
        <v>57</v>
      </c>
    </row>
    <row r="13" spans="1:15" x14ac:dyDescent="0.25">
      <c r="A13">
        <v>1754</v>
      </c>
      <c r="B13" t="s">
        <v>92</v>
      </c>
      <c r="C13" t="s">
        <v>90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A14">
        <v>1754</v>
      </c>
      <c r="B14" t="s">
        <v>58</v>
      </c>
      <c r="C14" t="s">
        <v>90</v>
      </c>
      <c r="D14" t="s">
        <v>31</v>
      </c>
      <c r="J14">
        <f t="shared" si="0"/>
        <v>0</v>
      </c>
      <c r="L14">
        <f t="shared" si="1"/>
        <v>0</v>
      </c>
    </row>
    <row r="15" spans="1:15" x14ac:dyDescent="0.25">
      <c r="A15">
        <v>1754</v>
      </c>
      <c r="B15" t="s">
        <v>7</v>
      </c>
      <c r="C15" t="s">
        <v>90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A16">
        <v>1754</v>
      </c>
      <c r="B16" t="s">
        <v>35</v>
      </c>
      <c r="C16" t="s">
        <v>90</v>
      </c>
      <c r="D16" t="s">
        <v>31</v>
      </c>
      <c r="J16">
        <f t="shared" si="0"/>
        <v>0</v>
      </c>
      <c r="L16">
        <f t="shared" si="1"/>
        <v>0</v>
      </c>
    </row>
    <row r="17" spans="1:12" x14ac:dyDescent="0.25">
      <c r="A17">
        <v>1754</v>
      </c>
      <c r="B17" t="s">
        <v>8</v>
      </c>
      <c r="C17" t="s">
        <v>90</v>
      </c>
      <c r="D17" t="s">
        <v>31</v>
      </c>
      <c r="J17">
        <f t="shared" si="0"/>
        <v>0</v>
      </c>
      <c r="L17">
        <f t="shared" si="1"/>
        <v>0</v>
      </c>
    </row>
    <row r="18" spans="1:12" x14ac:dyDescent="0.25">
      <c r="A18">
        <v>1754</v>
      </c>
      <c r="B18" t="s">
        <v>38</v>
      </c>
      <c r="C18" t="s">
        <v>90</v>
      </c>
      <c r="D18" t="s">
        <v>31</v>
      </c>
      <c r="J18">
        <f t="shared" si="0"/>
        <v>0</v>
      </c>
      <c r="L18">
        <f t="shared" si="1"/>
        <v>0</v>
      </c>
    </row>
    <row r="19" spans="1:12" x14ac:dyDescent="0.25">
      <c r="A19">
        <v>1754</v>
      </c>
      <c r="B19" t="s">
        <v>75</v>
      </c>
      <c r="C19" t="s">
        <v>90</v>
      </c>
      <c r="D19" t="s">
        <v>31</v>
      </c>
      <c r="J19">
        <f t="shared" si="0"/>
        <v>0</v>
      </c>
      <c r="L19">
        <f t="shared" si="1"/>
        <v>0</v>
      </c>
    </row>
    <row r="20" spans="1:12" x14ac:dyDescent="0.25">
      <c r="A20">
        <v>1754</v>
      </c>
      <c r="B20" t="s">
        <v>76</v>
      </c>
      <c r="C20" t="s">
        <v>90</v>
      </c>
      <c r="D20" t="s">
        <v>31</v>
      </c>
      <c r="J20">
        <f t="shared" si="0"/>
        <v>0</v>
      </c>
      <c r="L20">
        <f t="shared" si="1"/>
        <v>0</v>
      </c>
    </row>
    <row r="21" spans="1:12" x14ac:dyDescent="0.25">
      <c r="A21">
        <v>1754</v>
      </c>
      <c r="B21" t="s">
        <v>44</v>
      </c>
      <c r="C21" t="s">
        <v>90</v>
      </c>
      <c r="D21" t="s">
        <v>31</v>
      </c>
      <c r="J21">
        <f t="shared" si="0"/>
        <v>0</v>
      </c>
      <c r="L21">
        <f t="shared" si="1"/>
        <v>0</v>
      </c>
    </row>
    <row r="22" spans="1:12" x14ac:dyDescent="0.25">
      <c r="A22">
        <v>1754</v>
      </c>
      <c r="B22" t="s">
        <v>9</v>
      </c>
      <c r="C22" t="s">
        <v>90</v>
      </c>
      <c r="D22" t="s">
        <v>31</v>
      </c>
      <c r="H22">
        <f>122.75*200</f>
        <v>24550</v>
      </c>
      <c r="I22" t="s">
        <v>142</v>
      </c>
      <c r="J22">
        <f t="shared" si="0"/>
        <v>24550</v>
      </c>
      <c r="L22">
        <f t="shared" si="1"/>
        <v>10.959821428571429</v>
      </c>
    </row>
    <row r="23" spans="1:12" x14ac:dyDescent="0.25">
      <c r="A23">
        <v>1754</v>
      </c>
      <c r="B23" t="s">
        <v>10</v>
      </c>
      <c r="C23" t="s">
        <v>90</v>
      </c>
      <c r="D23" t="s">
        <v>31</v>
      </c>
      <c r="J23">
        <f t="shared" si="0"/>
        <v>0</v>
      </c>
      <c r="L23">
        <f t="shared" si="1"/>
        <v>0</v>
      </c>
    </row>
    <row r="24" spans="1:12" x14ac:dyDescent="0.25">
      <c r="A24">
        <v>1754</v>
      </c>
      <c r="B24" t="s">
        <v>11</v>
      </c>
      <c r="C24" t="s">
        <v>90</v>
      </c>
      <c r="D24" t="s">
        <v>31</v>
      </c>
      <c r="J24">
        <f t="shared" si="0"/>
        <v>0</v>
      </c>
      <c r="L24">
        <f t="shared" si="1"/>
        <v>0</v>
      </c>
    </row>
    <row r="25" spans="1:12" x14ac:dyDescent="0.25">
      <c r="A25">
        <v>1754</v>
      </c>
      <c r="B25" t="s">
        <v>37</v>
      </c>
      <c r="C25" t="s">
        <v>90</v>
      </c>
      <c r="D25" t="s">
        <v>31</v>
      </c>
      <c r="J25">
        <f t="shared" si="0"/>
        <v>0</v>
      </c>
      <c r="L25">
        <f t="shared" si="1"/>
        <v>0</v>
      </c>
    </row>
    <row r="26" spans="1:12" x14ac:dyDescent="0.25">
      <c r="A26">
        <v>1754</v>
      </c>
      <c r="B26" t="s">
        <v>77</v>
      </c>
      <c r="C26" t="s">
        <v>90</v>
      </c>
      <c r="D26" t="s">
        <v>31</v>
      </c>
      <c r="J26">
        <f t="shared" si="0"/>
        <v>0</v>
      </c>
      <c r="L26">
        <f t="shared" si="1"/>
        <v>0</v>
      </c>
    </row>
    <row r="27" spans="1:12" x14ac:dyDescent="0.25">
      <c r="A27">
        <v>1754</v>
      </c>
      <c r="B27" t="s">
        <v>99</v>
      </c>
      <c r="C27" t="s">
        <v>90</v>
      </c>
      <c r="D27" t="s">
        <v>31</v>
      </c>
      <c r="J27">
        <f t="shared" si="0"/>
        <v>0</v>
      </c>
      <c r="L27">
        <f t="shared" si="1"/>
        <v>0</v>
      </c>
    </row>
    <row r="28" spans="1:12" x14ac:dyDescent="0.25">
      <c r="A28">
        <v>1754</v>
      </c>
      <c r="B28" t="s">
        <v>42</v>
      </c>
      <c r="C28" t="s">
        <v>90</v>
      </c>
      <c r="D28" t="s">
        <v>31</v>
      </c>
      <c r="J28">
        <f t="shared" si="0"/>
        <v>0</v>
      </c>
      <c r="L28">
        <f t="shared" si="1"/>
        <v>0</v>
      </c>
    </row>
    <row r="29" spans="1:12" x14ac:dyDescent="0.25">
      <c r="A29">
        <v>1754</v>
      </c>
      <c r="B29" t="s">
        <v>93</v>
      </c>
      <c r="C29" t="s">
        <v>90</v>
      </c>
      <c r="D29" t="s">
        <v>31</v>
      </c>
      <c r="J29">
        <f t="shared" si="0"/>
        <v>0</v>
      </c>
      <c r="L29">
        <f t="shared" si="1"/>
        <v>0</v>
      </c>
    </row>
    <row r="30" spans="1:12" x14ac:dyDescent="0.25">
      <c r="A30">
        <v>1754</v>
      </c>
      <c r="B30" t="s">
        <v>12</v>
      </c>
      <c r="C30" t="s">
        <v>90</v>
      </c>
      <c r="D30" t="s">
        <v>31</v>
      </c>
      <c r="J30">
        <f t="shared" si="0"/>
        <v>0</v>
      </c>
      <c r="L30">
        <f t="shared" si="1"/>
        <v>0</v>
      </c>
    </row>
    <row r="31" spans="1:12" x14ac:dyDescent="0.25">
      <c r="A31">
        <v>1754</v>
      </c>
      <c r="B31" t="s">
        <v>103</v>
      </c>
      <c r="C31" t="s">
        <v>90</v>
      </c>
      <c r="D31" t="s">
        <v>31</v>
      </c>
      <c r="J31">
        <f t="shared" si="0"/>
        <v>0</v>
      </c>
      <c r="L31">
        <f t="shared" si="1"/>
        <v>0</v>
      </c>
    </row>
    <row r="32" spans="1:12" x14ac:dyDescent="0.25">
      <c r="A32">
        <v>1754</v>
      </c>
      <c r="B32" t="s">
        <v>32</v>
      </c>
      <c r="C32" t="s">
        <v>90</v>
      </c>
      <c r="D32" t="s">
        <v>31</v>
      </c>
      <c r="J32">
        <f t="shared" si="0"/>
        <v>0</v>
      </c>
      <c r="L32">
        <f t="shared" si="1"/>
        <v>0</v>
      </c>
    </row>
    <row r="33" spans="1:12" x14ac:dyDescent="0.25">
      <c r="A33">
        <v>1754</v>
      </c>
      <c r="B33" t="s">
        <v>13</v>
      </c>
      <c r="C33" t="s">
        <v>90</v>
      </c>
      <c r="D33" t="s">
        <v>31</v>
      </c>
      <c r="E33">
        <v>3</v>
      </c>
      <c r="J33">
        <f t="shared" si="0"/>
        <v>6720</v>
      </c>
      <c r="L33">
        <f t="shared" si="1"/>
        <v>3</v>
      </c>
    </row>
    <row r="34" spans="1:12" x14ac:dyDescent="0.25">
      <c r="A34">
        <v>1754</v>
      </c>
      <c r="B34" t="s">
        <v>14</v>
      </c>
      <c r="C34" t="s">
        <v>90</v>
      </c>
      <c r="D34" t="s">
        <v>31</v>
      </c>
      <c r="J34">
        <f t="shared" si="0"/>
        <v>0</v>
      </c>
      <c r="L34">
        <f t="shared" si="1"/>
        <v>0</v>
      </c>
    </row>
    <row r="35" spans="1:12" x14ac:dyDescent="0.25">
      <c r="A35">
        <v>1754</v>
      </c>
      <c r="B35" t="s">
        <v>23</v>
      </c>
      <c r="C35" t="s">
        <v>90</v>
      </c>
      <c r="D35" t="s">
        <v>31</v>
      </c>
      <c r="J35">
        <f t="shared" si="0"/>
        <v>0</v>
      </c>
      <c r="L35">
        <f t="shared" si="1"/>
        <v>0</v>
      </c>
    </row>
    <row r="36" spans="1:12" x14ac:dyDescent="0.25">
      <c r="A36">
        <v>1754</v>
      </c>
      <c r="B36" t="s">
        <v>25</v>
      </c>
      <c r="C36" t="s">
        <v>90</v>
      </c>
      <c r="D36" t="s">
        <v>31</v>
      </c>
      <c r="J36">
        <f t="shared" si="0"/>
        <v>0</v>
      </c>
      <c r="L36">
        <f t="shared" si="1"/>
        <v>0</v>
      </c>
    </row>
    <row r="37" spans="1:12" x14ac:dyDescent="0.25">
      <c r="A37">
        <v>1754</v>
      </c>
      <c r="B37" t="s">
        <v>15</v>
      </c>
      <c r="C37" t="s">
        <v>90</v>
      </c>
      <c r="D37" t="s">
        <v>31</v>
      </c>
      <c r="J37">
        <f t="shared" si="0"/>
        <v>0</v>
      </c>
      <c r="L37">
        <f t="shared" si="1"/>
        <v>0</v>
      </c>
    </row>
    <row r="38" spans="1:12" x14ac:dyDescent="0.25">
      <c r="A38">
        <v>1754</v>
      </c>
      <c r="B38" t="s">
        <v>40</v>
      </c>
      <c r="C38" t="s">
        <v>90</v>
      </c>
      <c r="D38" t="s">
        <v>31</v>
      </c>
      <c r="J38">
        <f t="shared" si="0"/>
        <v>0</v>
      </c>
      <c r="L38">
        <f t="shared" si="1"/>
        <v>0</v>
      </c>
    </row>
    <row r="39" spans="1:12" x14ac:dyDescent="0.25">
      <c r="A39">
        <v>1754</v>
      </c>
      <c r="B39" t="s">
        <v>80</v>
      </c>
      <c r="C39" t="s">
        <v>90</v>
      </c>
      <c r="D39" t="s">
        <v>31</v>
      </c>
      <c r="J39">
        <f t="shared" si="0"/>
        <v>0</v>
      </c>
      <c r="L39">
        <f t="shared" si="1"/>
        <v>0</v>
      </c>
    </row>
    <row r="40" spans="1:12" x14ac:dyDescent="0.25">
      <c r="A40">
        <v>1754</v>
      </c>
      <c r="B40" t="s">
        <v>45</v>
      </c>
      <c r="C40" t="s">
        <v>90</v>
      </c>
      <c r="D40" t="s">
        <v>31</v>
      </c>
      <c r="J40">
        <f t="shared" si="0"/>
        <v>0</v>
      </c>
      <c r="L40">
        <f t="shared" si="1"/>
        <v>0</v>
      </c>
    </row>
    <row r="41" spans="1:12" x14ac:dyDescent="0.25">
      <c r="A41">
        <v>1754</v>
      </c>
      <c r="B41" t="s">
        <v>16</v>
      </c>
      <c r="C41" t="s">
        <v>90</v>
      </c>
      <c r="D41" t="s">
        <v>31</v>
      </c>
      <c r="J41">
        <f t="shared" si="0"/>
        <v>0</v>
      </c>
      <c r="L41">
        <f t="shared" si="1"/>
        <v>0</v>
      </c>
    </row>
    <row r="42" spans="1:12" x14ac:dyDescent="0.25">
      <c r="A42">
        <v>1754</v>
      </c>
      <c r="B42" t="s">
        <v>17</v>
      </c>
      <c r="C42" t="s">
        <v>90</v>
      </c>
      <c r="D42" t="s">
        <v>31</v>
      </c>
      <c r="J42">
        <f t="shared" si="0"/>
        <v>0</v>
      </c>
      <c r="L42">
        <f t="shared" si="1"/>
        <v>0</v>
      </c>
    </row>
    <row r="43" spans="1:12" x14ac:dyDescent="0.25">
      <c r="A43">
        <v>1754</v>
      </c>
      <c r="B43" t="s">
        <v>18</v>
      </c>
      <c r="C43" t="s">
        <v>90</v>
      </c>
      <c r="D43" t="s">
        <v>31</v>
      </c>
      <c r="H43">
        <v>1050.5</v>
      </c>
      <c r="I43" t="s">
        <v>141</v>
      </c>
      <c r="J43">
        <f t="shared" si="0"/>
        <v>1050.5</v>
      </c>
      <c r="L43">
        <f t="shared" si="1"/>
        <v>0.46897321428571431</v>
      </c>
    </row>
    <row r="44" spans="1:12" x14ac:dyDescent="0.25">
      <c r="A44">
        <v>1754</v>
      </c>
      <c r="B44" t="s">
        <v>24</v>
      </c>
      <c r="C44" t="s">
        <v>90</v>
      </c>
      <c r="D44" t="s">
        <v>31</v>
      </c>
      <c r="J44">
        <f t="shared" si="0"/>
        <v>0</v>
      </c>
      <c r="L44">
        <f t="shared" si="1"/>
        <v>0</v>
      </c>
    </row>
    <row r="45" spans="1:12" x14ac:dyDescent="0.25">
      <c r="A45">
        <v>1754</v>
      </c>
      <c r="B45" t="s">
        <v>81</v>
      </c>
      <c r="C45" t="s">
        <v>90</v>
      </c>
      <c r="D45" t="s">
        <v>31</v>
      </c>
      <c r="J45">
        <f t="shared" si="0"/>
        <v>0</v>
      </c>
      <c r="L45">
        <f t="shared" si="1"/>
        <v>0</v>
      </c>
    </row>
    <row r="46" spans="1:12" x14ac:dyDescent="0.25">
      <c r="A46">
        <v>1754</v>
      </c>
      <c r="B46" t="s">
        <v>19</v>
      </c>
      <c r="C46" t="s">
        <v>90</v>
      </c>
      <c r="D46" t="s">
        <v>31</v>
      </c>
      <c r="J46">
        <f t="shared" si="0"/>
        <v>0</v>
      </c>
      <c r="L46">
        <f t="shared" si="1"/>
        <v>0</v>
      </c>
    </row>
    <row r="47" spans="1:12" x14ac:dyDescent="0.25">
      <c r="A47">
        <v>1754</v>
      </c>
      <c r="B47" t="s">
        <v>43</v>
      </c>
      <c r="C47" t="s">
        <v>90</v>
      </c>
      <c r="D47" t="s">
        <v>31</v>
      </c>
      <c r="J47">
        <f t="shared" si="0"/>
        <v>0</v>
      </c>
      <c r="L47">
        <f t="shared" si="1"/>
        <v>0</v>
      </c>
    </row>
    <row r="48" spans="1:12" x14ac:dyDescent="0.25">
      <c r="A48">
        <v>1754</v>
      </c>
      <c r="B48" t="s">
        <v>82</v>
      </c>
      <c r="C48" t="s">
        <v>90</v>
      </c>
      <c r="D48" t="s">
        <v>31</v>
      </c>
      <c r="J48">
        <f t="shared" si="0"/>
        <v>0</v>
      </c>
      <c r="L48">
        <f t="shared" si="1"/>
        <v>0</v>
      </c>
    </row>
    <row r="49" spans="1:12" x14ac:dyDescent="0.25">
      <c r="A49">
        <v>1754</v>
      </c>
      <c r="B49" t="s">
        <v>52</v>
      </c>
      <c r="C49" t="s">
        <v>90</v>
      </c>
      <c r="D49" t="s">
        <v>31</v>
      </c>
      <c r="J49">
        <f t="shared" si="0"/>
        <v>0</v>
      </c>
      <c r="L49">
        <f t="shared" si="1"/>
        <v>0</v>
      </c>
    </row>
    <row r="50" spans="1:12" x14ac:dyDescent="0.25">
      <c r="A50">
        <v>1754</v>
      </c>
      <c r="B50" t="s">
        <v>91</v>
      </c>
      <c r="C50" t="s">
        <v>90</v>
      </c>
      <c r="D50" t="s">
        <v>31</v>
      </c>
      <c r="J50">
        <f t="shared" si="0"/>
        <v>0</v>
      </c>
      <c r="L50">
        <f t="shared" si="1"/>
        <v>0</v>
      </c>
    </row>
    <row r="51" spans="1:12" x14ac:dyDescent="0.25">
      <c r="A51">
        <v>1754</v>
      </c>
      <c r="B51" t="s">
        <v>20</v>
      </c>
      <c r="C51" t="s">
        <v>90</v>
      </c>
      <c r="D51" t="s">
        <v>31</v>
      </c>
      <c r="J51">
        <f t="shared" si="0"/>
        <v>0</v>
      </c>
      <c r="L51">
        <f t="shared" si="1"/>
        <v>0</v>
      </c>
    </row>
    <row r="52" spans="1:12" x14ac:dyDescent="0.25">
      <c r="A52">
        <v>1754</v>
      </c>
      <c r="B52" t="s">
        <v>21</v>
      </c>
      <c r="C52" t="s">
        <v>90</v>
      </c>
      <c r="D52" t="s">
        <v>31</v>
      </c>
      <c r="J52">
        <f t="shared" si="0"/>
        <v>0</v>
      </c>
      <c r="L52">
        <f t="shared" si="1"/>
        <v>0</v>
      </c>
    </row>
    <row r="53" spans="1:12" x14ac:dyDescent="0.25">
      <c r="A53">
        <v>1754</v>
      </c>
      <c r="B53" t="s">
        <v>22</v>
      </c>
      <c r="C53" t="s">
        <v>90</v>
      </c>
      <c r="D53" t="s">
        <v>31</v>
      </c>
      <c r="J53">
        <f t="shared" si="0"/>
        <v>0</v>
      </c>
      <c r="L53">
        <f t="shared" si="1"/>
        <v>0</v>
      </c>
    </row>
    <row r="54" spans="1:12" x14ac:dyDescent="0.25">
      <c r="A54">
        <v>1754</v>
      </c>
      <c r="B54" t="s">
        <v>59</v>
      </c>
      <c r="C54" t="s">
        <v>90</v>
      </c>
      <c r="D54" t="s">
        <v>31</v>
      </c>
      <c r="J54">
        <f t="shared" si="0"/>
        <v>0</v>
      </c>
      <c r="L54">
        <f t="shared" si="1"/>
        <v>0</v>
      </c>
    </row>
    <row r="55" spans="1:12" x14ac:dyDescent="0.25">
      <c r="A55">
        <v>1754</v>
      </c>
      <c r="B55" t="s">
        <v>95</v>
      </c>
      <c r="C55" t="s">
        <v>90</v>
      </c>
      <c r="D55" t="s">
        <v>31</v>
      </c>
      <c r="J55">
        <f t="shared" si="0"/>
        <v>0</v>
      </c>
      <c r="L55">
        <f t="shared" si="1"/>
        <v>0</v>
      </c>
    </row>
    <row r="56" spans="1:12" x14ac:dyDescent="0.25">
      <c r="A56">
        <v>1754</v>
      </c>
      <c r="B56" t="s">
        <v>84</v>
      </c>
      <c r="C56" t="s">
        <v>90</v>
      </c>
      <c r="D56" t="s">
        <v>31</v>
      </c>
      <c r="J56">
        <f t="shared" si="0"/>
        <v>0</v>
      </c>
      <c r="L56">
        <f t="shared" si="1"/>
        <v>0</v>
      </c>
    </row>
    <row r="57" spans="1:12" x14ac:dyDescent="0.25">
      <c r="A57">
        <v>1754</v>
      </c>
      <c r="B57" t="s">
        <v>60</v>
      </c>
      <c r="C57" t="s">
        <v>90</v>
      </c>
      <c r="D57" t="s">
        <v>31</v>
      </c>
      <c r="E57">
        <v>44</v>
      </c>
      <c r="G57">
        <v>662</v>
      </c>
      <c r="J57">
        <f t="shared" si="0"/>
        <v>117096</v>
      </c>
      <c r="L57">
        <f t="shared" si="1"/>
        <v>52.274999999999999</v>
      </c>
    </row>
    <row r="58" spans="1:12" x14ac:dyDescent="0.25">
      <c r="A58">
        <v>1754</v>
      </c>
      <c r="B58" t="s">
        <v>85</v>
      </c>
      <c r="C58" t="s">
        <v>90</v>
      </c>
      <c r="D58" t="s">
        <v>31</v>
      </c>
      <c r="J58">
        <f t="shared" si="0"/>
        <v>0</v>
      </c>
      <c r="L58">
        <f t="shared" si="1"/>
        <v>0</v>
      </c>
    </row>
    <row r="59" spans="1:12" x14ac:dyDescent="0.25">
      <c r="A59">
        <v>1754</v>
      </c>
      <c r="B59" t="s">
        <v>61</v>
      </c>
      <c r="C59" t="s">
        <v>90</v>
      </c>
      <c r="D59" t="s">
        <v>31</v>
      </c>
      <c r="J59">
        <f t="shared" si="0"/>
        <v>0</v>
      </c>
      <c r="L59">
        <f t="shared" si="1"/>
        <v>0</v>
      </c>
    </row>
    <row r="60" spans="1:12" x14ac:dyDescent="0.25">
      <c r="A60">
        <v>1754</v>
      </c>
      <c r="B60" t="s">
        <v>86</v>
      </c>
      <c r="C60" t="s">
        <v>90</v>
      </c>
      <c r="D60" t="s">
        <v>31</v>
      </c>
      <c r="J60">
        <f t="shared" si="0"/>
        <v>0</v>
      </c>
      <c r="L60">
        <f t="shared" si="1"/>
        <v>0</v>
      </c>
    </row>
    <row r="61" spans="1:12" x14ac:dyDescent="0.25">
      <c r="A61">
        <v>1754</v>
      </c>
      <c r="B61" t="s">
        <v>68</v>
      </c>
      <c r="C61" t="s">
        <v>90</v>
      </c>
      <c r="D61" t="s">
        <v>31</v>
      </c>
      <c r="E61">
        <v>22</v>
      </c>
      <c r="J61">
        <f t="shared" si="0"/>
        <v>49280</v>
      </c>
      <c r="L61">
        <f t="shared" si="1"/>
        <v>22</v>
      </c>
    </row>
    <row r="62" spans="1:12" x14ac:dyDescent="0.25">
      <c r="A62">
        <v>1754</v>
      </c>
      <c r="B62" t="s">
        <v>62</v>
      </c>
      <c r="C62" t="s">
        <v>90</v>
      </c>
      <c r="D62" t="s">
        <v>31</v>
      </c>
      <c r="J62">
        <f t="shared" si="0"/>
        <v>0</v>
      </c>
      <c r="L62">
        <f t="shared" si="1"/>
        <v>0</v>
      </c>
    </row>
    <row r="63" spans="1:12" x14ac:dyDescent="0.25">
      <c r="A63">
        <v>1754</v>
      </c>
      <c r="B63" t="s">
        <v>63</v>
      </c>
      <c r="C63" t="s">
        <v>90</v>
      </c>
      <c r="D63" t="s">
        <v>31</v>
      </c>
      <c r="J63">
        <f t="shared" si="0"/>
        <v>0</v>
      </c>
      <c r="L63">
        <f t="shared" si="1"/>
        <v>0</v>
      </c>
    </row>
    <row r="64" spans="1:12" x14ac:dyDescent="0.25">
      <c r="A64">
        <v>1754</v>
      </c>
      <c r="B64" t="s">
        <v>53</v>
      </c>
      <c r="C64" t="s">
        <v>90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1754</v>
      </c>
      <c r="B65" t="s">
        <v>55</v>
      </c>
      <c r="C65" t="s">
        <v>90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1754</v>
      </c>
      <c r="B66" t="s">
        <v>34</v>
      </c>
      <c r="C66" t="s">
        <v>90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1754</v>
      </c>
      <c r="B67" t="s">
        <v>4</v>
      </c>
      <c r="C67" t="s">
        <v>90</v>
      </c>
      <c r="D67" t="s">
        <v>33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1754</v>
      </c>
      <c r="B68" t="s">
        <v>56</v>
      </c>
      <c r="C68" t="s">
        <v>90</v>
      </c>
      <c r="D68" t="s">
        <v>33</v>
      </c>
      <c r="J68">
        <f t="shared" si="2"/>
        <v>0</v>
      </c>
      <c r="L68">
        <f t="shared" si="3"/>
        <v>0</v>
      </c>
    </row>
    <row r="69" spans="1:12" x14ac:dyDescent="0.25">
      <c r="A69">
        <v>1754</v>
      </c>
      <c r="B69" t="s">
        <v>67</v>
      </c>
      <c r="C69" t="s">
        <v>90</v>
      </c>
      <c r="D69" t="s">
        <v>33</v>
      </c>
      <c r="J69">
        <f t="shared" si="2"/>
        <v>0</v>
      </c>
      <c r="L69">
        <f t="shared" si="3"/>
        <v>0</v>
      </c>
    </row>
    <row r="70" spans="1:12" x14ac:dyDescent="0.25">
      <c r="A70">
        <v>1754</v>
      </c>
      <c r="B70" t="s">
        <v>41</v>
      </c>
      <c r="C70" t="s">
        <v>90</v>
      </c>
      <c r="D70" t="s">
        <v>33</v>
      </c>
      <c r="J70">
        <f t="shared" si="2"/>
        <v>0</v>
      </c>
      <c r="L70">
        <f t="shared" si="3"/>
        <v>0</v>
      </c>
    </row>
    <row r="71" spans="1:12" x14ac:dyDescent="0.25">
      <c r="A71">
        <v>1754</v>
      </c>
      <c r="B71" t="s">
        <v>74</v>
      </c>
      <c r="C71" t="s">
        <v>90</v>
      </c>
      <c r="D71" t="s">
        <v>33</v>
      </c>
      <c r="J71">
        <f t="shared" si="2"/>
        <v>0</v>
      </c>
      <c r="L71">
        <f t="shared" si="3"/>
        <v>0</v>
      </c>
    </row>
    <row r="72" spans="1:12" x14ac:dyDescent="0.25">
      <c r="A72">
        <v>1754</v>
      </c>
      <c r="B72" t="s">
        <v>5</v>
      </c>
      <c r="C72" t="s">
        <v>90</v>
      </c>
      <c r="D72" t="s">
        <v>33</v>
      </c>
      <c r="J72">
        <f t="shared" si="2"/>
        <v>0</v>
      </c>
      <c r="L72">
        <f t="shared" si="3"/>
        <v>0</v>
      </c>
    </row>
    <row r="73" spans="1:12" x14ac:dyDescent="0.25">
      <c r="A73">
        <v>1754</v>
      </c>
      <c r="B73" t="s">
        <v>57</v>
      </c>
      <c r="C73" t="s">
        <v>90</v>
      </c>
      <c r="D73" t="s">
        <v>33</v>
      </c>
      <c r="J73">
        <f t="shared" si="2"/>
        <v>0</v>
      </c>
      <c r="L73">
        <f t="shared" si="3"/>
        <v>0</v>
      </c>
    </row>
    <row r="74" spans="1:12" x14ac:dyDescent="0.25">
      <c r="A74">
        <v>1754</v>
      </c>
      <c r="B74" t="s">
        <v>6</v>
      </c>
      <c r="C74" t="s">
        <v>90</v>
      </c>
      <c r="D74" t="s">
        <v>33</v>
      </c>
      <c r="F74">
        <v>1672</v>
      </c>
      <c r="G74">
        <v>3</v>
      </c>
      <c r="H74">
        <v>24</v>
      </c>
      <c r="J74">
        <f t="shared" si="2"/>
        <v>187372</v>
      </c>
      <c r="L74">
        <f t="shared" si="3"/>
        <v>83.648214285714289</v>
      </c>
    </row>
    <row r="75" spans="1:12" x14ac:dyDescent="0.25">
      <c r="A75">
        <v>1754</v>
      </c>
      <c r="B75" t="s">
        <v>58</v>
      </c>
      <c r="C75" t="s">
        <v>90</v>
      </c>
      <c r="D75" t="s">
        <v>33</v>
      </c>
      <c r="J75">
        <f t="shared" si="2"/>
        <v>0</v>
      </c>
      <c r="L75">
        <f t="shared" si="3"/>
        <v>0</v>
      </c>
    </row>
    <row r="76" spans="1:12" x14ac:dyDescent="0.25">
      <c r="A76">
        <v>1754</v>
      </c>
      <c r="B76" t="s">
        <v>7</v>
      </c>
      <c r="C76" t="s">
        <v>90</v>
      </c>
      <c r="D76" t="s">
        <v>33</v>
      </c>
      <c r="J76">
        <f t="shared" si="2"/>
        <v>0</v>
      </c>
      <c r="L76">
        <f t="shared" si="3"/>
        <v>0</v>
      </c>
    </row>
    <row r="77" spans="1:12" x14ac:dyDescent="0.25">
      <c r="A77">
        <v>1754</v>
      </c>
      <c r="B77" t="s">
        <v>35</v>
      </c>
      <c r="C77" t="s">
        <v>90</v>
      </c>
      <c r="D77" t="s">
        <v>33</v>
      </c>
      <c r="J77">
        <f t="shared" si="2"/>
        <v>0</v>
      </c>
      <c r="L77">
        <f t="shared" si="3"/>
        <v>0</v>
      </c>
    </row>
    <row r="78" spans="1:12" x14ac:dyDescent="0.25">
      <c r="A78">
        <v>1754</v>
      </c>
      <c r="B78" t="s">
        <v>8</v>
      </c>
      <c r="C78" t="s">
        <v>90</v>
      </c>
      <c r="D78" t="s">
        <v>33</v>
      </c>
      <c r="J78">
        <f t="shared" si="2"/>
        <v>0</v>
      </c>
      <c r="L78">
        <f t="shared" si="3"/>
        <v>0</v>
      </c>
    </row>
    <row r="79" spans="1:12" x14ac:dyDescent="0.25">
      <c r="A79">
        <v>1754</v>
      </c>
      <c r="B79" t="s">
        <v>38</v>
      </c>
      <c r="C79" t="s">
        <v>90</v>
      </c>
      <c r="D79" t="s">
        <v>33</v>
      </c>
      <c r="J79">
        <f t="shared" si="2"/>
        <v>0</v>
      </c>
      <c r="L79">
        <f t="shared" si="3"/>
        <v>0</v>
      </c>
    </row>
    <row r="80" spans="1:12" x14ac:dyDescent="0.25">
      <c r="A80">
        <v>1754</v>
      </c>
      <c r="B80" t="s">
        <v>75</v>
      </c>
      <c r="C80" t="s">
        <v>90</v>
      </c>
      <c r="D80" t="s">
        <v>33</v>
      </c>
      <c r="J80">
        <f t="shared" si="2"/>
        <v>0</v>
      </c>
      <c r="L80">
        <f t="shared" si="3"/>
        <v>0</v>
      </c>
    </row>
    <row r="81" spans="1:12" x14ac:dyDescent="0.25">
      <c r="A81">
        <v>1754</v>
      </c>
      <c r="B81" t="s">
        <v>76</v>
      </c>
      <c r="C81" t="s">
        <v>90</v>
      </c>
      <c r="D81" t="s">
        <v>33</v>
      </c>
      <c r="J81">
        <f t="shared" si="2"/>
        <v>0</v>
      </c>
      <c r="L81">
        <f t="shared" si="3"/>
        <v>0</v>
      </c>
    </row>
    <row r="82" spans="1:12" x14ac:dyDescent="0.25">
      <c r="A82">
        <v>1754</v>
      </c>
      <c r="B82" t="s">
        <v>44</v>
      </c>
      <c r="C82" t="s">
        <v>90</v>
      </c>
      <c r="D82" t="s">
        <v>33</v>
      </c>
      <c r="J82">
        <f t="shared" si="2"/>
        <v>0</v>
      </c>
      <c r="L82">
        <f t="shared" si="3"/>
        <v>0</v>
      </c>
    </row>
    <row r="83" spans="1:12" x14ac:dyDescent="0.25">
      <c r="A83">
        <v>1754</v>
      </c>
      <c r="B83" t="s">
        <v>9</v>
      </c>
      <c r="C83" t="s">
        <v>90</v>
      </c>
      <c r="D83" t="s">
        <v>33</v>
      </c>
      <c r="H83">
        <f>761*200</f>
        <v>152200</v>
      </c>
      <c r="I83" t="s">
        <v>165</v>
      </c>
      <c r="J83">
        <f t="shared" si="2"/>
        <v>152200</v>
      </c>
      <c r="L83">
        <f t="shared" si="3"/>
        <v>67.946428571428569</v>
      </c>
    </row>
    <row r="84" spans="1:12" x14ac:dyDescent="0.25">
      <c r="A84">
        <v>1754</v>
      </c>
      <c r="B84" t="s">
        <v>10</v>
      </c>
      <c r="C84" t="s">
        <v>90</v>
      </c>
      <c r="D84" t="s">
        <v>33</v>
      </c>
      <c r="J84">
        <f t="shared" si="2"/>
        <v>0</v>
      </c>
      <c r="L84">
        <f t="shared" si="3"/>
        <v>0</v>
      </c>
    </row>
    <row r="85" spans="1:12" x14ac:dyDescent="0.25">
      <c r="A85">
        <v>1754</v>
      </c>
      <c r="B85" t="s">
        <v>11</v>
      </c>
      <c r="C85" t="s">
        <v>90</v>
      </c>
      <c r="D85" t="s">
        <v>33</v>
      </c>
      <c r="J85">
        <f t="shared" si="2"/>
        <v>0</v>
      </c>
      <c r="L85">
        <f t="shared" si="3"/>
        <v>0</v>
      </c>
    </row>
    <row r="86" spans="1:12" x14ac:dyDescent="0.25">
      <c r="A86">
        <v>1754</v>
      </c>
      <c r="B86" t="s">
        <v>37</v>
      </c>
      <c r="C86" t="s">
        <v>90</v>
      </c>
      <c r="D86" t="s">
        <v>33</v>
      </c>
      <c r="J86">
        <f t="shared" si="2"/>
        <v>0</v>
      </c>
      <c r="L86">
        <f t="shared" si="3"/>
        <v>0</v>
      </c>
    </row>
    <row r="87" spans="1:12" x14ac:dyDescent="0.25">
      <c r="A87">
        <v>1754</v>
      </c>
      <c r="B87" t="s">
        <v>77</v>
      </c>
      <c r="C87" t="s">
        <v>90</v>
      </c>
      <c r="D87" t="s">
        <v>33</v>
      </c>
      <c r="J87">
        <f t="shared" si="2"/>
        <v>0</v>
      </c>
      <c r="L87">
        <f t="shared" si="3"/>
        <v>0</v>
      </c>
    </row>
    <row r="88" spans="1:12" x14ac:dyDescent="0.25">
      <c r="A88">
        <v>1754</v>
      </c>
      <c r="B88" t="s">
        <v>99</v>
      </c>
      <c r="C88" t="s">
        <v>90</v>
      </c>
      <c r="D88" t="s">
        <v>33</v>
      </c>
      <c r="J88">
        <f t="shared" si="2"/>
        <v>0</v>
      </c>
      <c r="L88">
        <f t="shared" si="3"/>
        <v>0</v>
      </c>
    </row>
    <row r="89" spans="1:12" x14ac:dyDescent="0.25">
      <c r="A89">
        <v>1754</v>
      </c>
      <c r="B89" t="s">
        <v>42</v>
      </c>
      <c r="C89" t="s">
        <v>90</v>
      </c>
      <c r="D89" t="s">
        <v>33</v>
      </c>
      <c r="J89">
        <f t="shared" si="2"/>
        <v>0</v>
      </c>
      <c r="L89">
        <f t="shared" si="3"/>
        <v>0</v>
      </c>
    </row>
    <row r="90" spans="1:12" x14ac:dyDescent="0.25">
      <c r="A90">
        <v>1754</v>
      </c>
      <c r="B90" t="s">
        <v>93</v>
      </c>
      <c r="C90" t="s">
        <v>90</v>
      </c>
      <c r="D90" t="s">
        <v>33</v>
      </c>
      <c r="J90">
        <f t="shared" si="2"/>
        <v>0</v>
      </c>
      <c r="L90">
        <f t="shared" si="3"/>
        <v>0</v>
      </c>
    </row>
    <row r="91" spans="1:12" x14ac:dyDescent="0.25">
      <c r="A91">
        <v>1754</v>
      </c>
      <c r="B91" t="s">
        <v>12</v>
      </c>
      <c r="C91" t="s">
        <v>90</v>
      </c>
      <c r="D91" t="s">
        <v>33</v>
      </c>
      <c r="J91">
        <f t="shared" si="2"/>
        <v>0</v>
      </c>
      <c r="L91">
        <f t="shared" si="3"/>
        <v>0</v>
      </c>
    </row>
    <row r="92" spans="1:12" x14ac:dyDescent="0.25">
      <c r="A92">
        <v>1754</v>
      </c>
      <c r="B92" t="s">
        <v>103</v>
      </c>
      <c r="C92" t="s">
        <v>90</v>
      </c>
      <c r="D92" t="s">
        <v>33</v>
      </c>
      <c r="J92">
        <f t="shared" si="2"/>
        <v>0</v>
      </c>
      <c r="L92">
        <f t="shared" si="3"/>
        <v>0</v>
      </c>
    </row>
    <row r="93" spans="1:12" x14ac:dyDescent="0.25">
      <c r="A93">
        <v>1754</v>
      </c>
      <c r="B93" t="s">
        <v>32</v>
      </c>
      <c r="C93" t="s">
        <v>90</v>
      </c>
      <c r="D93" t="s">
        <v>33</v>
      </c>
      <c r="J93">
        <f t="shared" si="2"/>
        <v>0</v>
      </c>
      <c r="L93">
        <f t="shared" si="3"/>
        <v>0</v>
      </c>
    </row>
    <row r="94" spans="1:12" x14ac:dyDescent="0.25">
      <c r="A94">
        <v>1754</v>
      </c>
      <c r="B94" t="s">
        <v>13</v>
      </c>
      <c r="C94" t="s">
        <v>90</v>
      </c>
      <c r="D94" t="s">
        <v>33</v>
      </c>
      <c r="E94">
        <v>15</v>
      </c>
      <c r="F94">
        <v>3</v>
      </c>
      <c r="G94">
        <v>1</v>
      </c>
      <c r="H94">
        <v>17</v>
      </c>
      <c r="J94">
        <f t="shared" si="2"/>
        <v>33981</v>
      </c>
      <c r="L94">
        <f t="shared" si="3"/>
        <v>15.170089285714285</v>
      </c>
    </row>
    <row r="95" spans="1:12" x14ac:dyDescent="0.25">
      <c r="A95">
        <v>1754</v>
      </c>
      <c r="B95" t="s">
        <v>14</v>
      </c>
      <c r="C95" t="s">
        <v>90</v>
      </c>
      <c r="D95" t="s">
        <v>33</v>
      </c>
      <c r="J95">
        <f t="shared" si="2"/>
        <v>0</v>
      </c>
      <c r="L95">
        <f t="shared" si="3"/>
        <v>0</v>
      </c>
    </row>
    <row r="96" spans="1:12" x14ac:dyDescent="0.25">
      <c r="A96">
        <v>1754</v>
      </c>
      <c r="B96" t="s">
        <v>23</v>
      </c>
      <c r="C96" t="s">
        <v>90</v>
      </c>
      <c r="D96" t="s">
        <v>33</v>
      </c>
      <c r="J96">
        <f t="shared" si="2"/>
        <v>0</v>
      </c>
      <c r="L96">
        <f t="shared" si="3"/>
        <v>0</v>
      </c>
    </row>
    <row r="97" spans="1:12" x14ac:dyDescent="0.25">
      <c r="A97">
        <v>1754</v>
      </c>
      <c r="B97" t="s">
        <v>25</v>
      </c>
      <c r="C97" t="s">
        <v>90</v>
      </c>
      <c r="D97" t="s">
        <v>33</v>
      </c>
      <c r="J97">
        <f t="shared" si="2"/>
        <v>0</v>
      </c>
      <c r="L97">
        <f t="shared" si="3"/>
        <v>0</v>
      </c>
    </row>
    <row r="98" spans="1:12" x14ac:dyDescent="0.25">
      <c r="A98">
        <v>1754</v>
      </c>
      <c r="B98" t="s">
        <v>15</v>
      </c>
      <c r="C98" t="s">
        <v>90</v>
      </c>
      <c r="D98" t="s">
        <v>33</v>
      </c>
      <c r="J98">
        <f t="shared" si="2"/>
        <v>0</v>
      </c>
      <c r="L98">
        <f t="shared" si="3"/>
        <v>0</v>
      </c>
    </row>
    <row r="99" spans="1:12" x14ac:dyDescent="0.25">
      <c r="A99">
        <v>1754</v>
      </c>
      <c r="B99" t="s">
        <v>89</v>
      </c>
      <c r="C99" t="s">
        <v>90</v>
      </c>
      <c r="D99" t="s">
        <v>33</v>
      </c>
      <c r="J99">
        <f t="shared" si="2"/>
        <v>0</v>
      </c>
      <c r="L99">
        <f t="shared" si="3"/>
        <v>0</v>
      </c>
    </row>
    <row r="100" spans="1:12" x14ac:dyDescent="0.25">
      <c r="A100">
        <v>1754</v>
      </c>
      <c r="B100" t="s">
        <v>40</v>
      </c>
      <c r="C100" t="s">
        <v>90</v>
      </c>
      <c r="D100" t="s">
        <v>33</v>
      </c>
      <c r="J100">
        <f t="shared" si="2"/>
        <v>0</v>
      </c>
      <c r="L100">
        <f t="shared" si="3"/>
        <v>0</v>
      </c>
    </row>
    <row r="101" spans="1:12" x14ac:dyDescent="0.25">
      <c r="A101">
        <v>1754</v>
      </c>
      <c r="B101" t="s">
        <v>80</v>
      </c>
      <c r="C101" t="s">
        <v>90</v>
      </c>
      <c r="D101" t="s">
        <v>33</v>
      </c>
      <c r="J101">
        <f t="shared" si="2"/>
        <v>0</v>
      </c>
      <c r="L101">
        <f t="shared" si="3"/>
        <v>0</v>
      </c>
    </row>
    <row r="102" spans="1:12" x14ac:dyDescent="0.25">
      <c r="A102">
        <v>1754</v>
      </c>
      <c r="B102" t="s">
        <v>45</v>
      </c>
      <c r="C102" t="s">
        <v>90</v>
      </c>
      <c r="D102" t="s">
        <v>33</v>
      </c>
      <c r="J102">
        <f t="shared" si="2"/>
        <v>0</v>
      </c>
      <c r="L102">
        <f t="shared" si="3"/>
        <v>0</v>
      </c>
    </row>
    <row r="103" spans="1:12" x14ac:dyDescent="0.25">
      <c r="A103">
        <v>1754</v>
      </c>
      <c r="B103" t="s">
        <v>16</v>
      </c>
      <c r="C103" t="s">
        <v>90</v>
      </c>
      <c r="D103" t="s">
        <v>33</v>
      </c>
      <c r="J103">
        <f t="shared" si="2"/>
        <v>0</v>
      </c>
      <c r="L103">
        <f t="shared" si="3"/>
        <v>0</v>
      </c>
    </row>
    <row r="104" spans="1:12" x14ac:dyDescent="0.25">
      <c r="A104">
        <v>1754</v>
      </c>
      <c r="B104" t="s">
        <v>17</v>
      </c>
      <c r="C104" t="s">
        <v>90</v>
      </c>
      <c r="D104" t="s">
        <v>33</v>
      </c>
      <c r="J104">
        <f t="shared" si="2"/>
        <v>0</v>
      </c>
      <c r="L104">
        <f t="shared" si="3"/>
        <v>0</v>
      </c>
    </row>
    <row r="105" spans="1:12" x14ac:dyDescent="0.25">
      <c r="A105">
        <v>1754</v>
      </c>
      <c r="B105" t="s">
        <v>18</v>
      </c>
      <c r="C105" t="s">
        <v>90</v>
      </c>
      <c r="D105" t="s">
        <v>33</v>
      </c>
      <c r="H105">
        <v>2600.5</v>
      </c>
      <c r="I105" t="s">
        <v>164</v>
      </c>
      <c r="J105">
        <f t="shared" si="2"/>
        <v>2600.5</v>
      </c>
      <c r="L105">
        <f t="shared" si="3"/>
        <v>1.1609375</v>
      </c>
    </row>
    <row r="106" spans="1:12" x14ac:dyDescent="0.25">
      <c r="A106">
        <v>1754</v>
      </c>
      <c r="B106" t="s">
        <v>24</v>
      </c>
      <c r="C106" t="s">
        <v>90</v>
      </c>
      <c r="D106" t="s">
        <v>33</v>
      </c>
      <c r="J106">
        <f t="shared" si="2"/>
        <v>0</v>
      </c>
      <c r="L106">
        <f t="shared" si="3"/>
        <v>0</v>
      </c>
    </row>
    <row r="107" spans="1:12" x14ac:dyDescent="0.25">
      <c r="A107">
        <v>1754</v>
      </c>
      <c r="B107" t="s">
        <v>81</v>
      </c>
      <c r="C107" t="s">
        <v>90</v>
      </c>
      <c r="D107" t="s">
        <v>33</v>
      </c>
      <c r="J107">
        <f t="shared" si="2"/>
        <v>0</v>
      </c>
      <c r="L107">
        <f t="shared" si="3"/>
        <v>0</v>
      </c>
    </row>
    <row r="108" spans="1:12" x14ac:dyDescent="0.25">
      <c r="A108">
        <v>1754</v>
      </c>
      <c r="B108" t="s">
        <v>19</v>
      </c>
      <c r="C108" t="s">
        <v>90</v>
      </c>
      <c r="D108" t="s">
        <v>33</v>
      </c>
      <c r="J108">
        <f t="shared" si="2"/>
        <v>0</v>
      </c>
      <c r="L108">
        <f t="shared" si="3"/>
        <v>0</v>
      </c>
    </row>
    <row r="109" spans="1:12" x14ac:dyDescent="0.25">
      <c r="A109">
        <v>1754</v>
      </c>
      <c r="B109" t="s">
        <v>43</v>
      </c>
      <c r="C109" t="s">
        <v>90</v>
      </c>
      <c r="D109" t="s">
        <v>33</v>
      </c>
      <c r="J109">
        <f t="shared" si="2"/>
        <v>0</v>
      </c>
      <c r="L109">
        <f t="shared" si="3"/>
        <v>0</v>
      </c>
    </row>
    <row r="110" spans="1:12" x14ac:dyDescent="0.25">
      <c r="A110">
        <v>1754</v>
      </c>
      <c r="B110" t="s">
        <v>82</v>
      </c>
      <c r="C110" t="s">
        <v>90</v>
      </c>
      <c r="D110" t="s">
        <v>33</v>
      </c>
      <c r="J110">
        <f t="shared" si="2"/>
        <v>0</v>
      </c>
      <c r="L110">
        <f t="shared" si="3"/>
        <v>0</v>
      </c>
    </row>
    <row r="111" spans="1:12" x14ac:dyDescent="0.25">
      <c r="A111">
        <v>1754</v>
      </c>
      <c r="B111" t="s">
        <v>52</v>
      </c>
      <c r="C111" t="s">
        <v>90</v>
      </c>
      <c r="D111" t="s">
        <v>33</v>
      </c>
      <c r="J111">
        <f t="shared" si="2"/>
        <v>0</v>
      </c>
      <c r="L111">
        <f t="shared" si="3"/>
        <v>0</v>
      </c>
    </row>
    <row r="112" spans="1:12" x14ac:dyDescent="0.25">
      <c r="A112">
        <v>1754</v>
      </c>
      <c r="B112" t="s">
        <v>91</v>
      </c>
      <c r="C112" t="s">
        <v>90</v>
      </c>
      <c r="D112" t="s">
        <v>33</v>
      </c>
      <c r="J112">
        <f t="shared" si="2"/>
        <v>0</v>
      </c>
      <c r="L112">
        <f t="shared" si="3"/>
        <v>0</v>
      </c>
    </row>
    <row r="113" spans="1:12" x14ac:dyDescent="0.25">
      <c r="A113">
        <v>1754</v>
      </c>
      <c r="B113" t="s">
        <v>20</v>
      </c>
      <c r="C113" t="s">
        <v>90</v>
      </c>
      <c r="D113" t="s">
        <v>33</v>
      </c>
      <c r="J113">
        <f t="shared" si="2"/>
        <v>0</v>
      </c>
      <c r="L113">
        <f t="shared" si="3"/>
        <v>0</v>
      </c>
    </row>
    <row r="114" spans="1:12" x14ac:dyDescent="0.25">
      <c r="A114">
        <v>1754</v>
      </c>
      <c r="B114" t="s">
        <v>21</v>
      </c>
      <c r="C114" t="s">
        <v>90</v>
      </c>
      <c r="D114" t="s">
        <v>33</v>
      </c>
      <c r="J114">
        <f t="shared" si="2"/>
        <v>0</v>
      </c>
      <c r="L114">
        <f t="shared" si="3"/>
        <v>0</v>
      </c>
    </row>
    <row r="115" spans="1:12" x14ac:dyDescent="0.25">
      <c r="A115">
        <v>1754</v>
      </c>
      <c r="B115" t="s">
        <v>22</v>
      </c>
      <c r="C115" t="s">
        <v>90</v>
      </c>
      <c r="D115" t="s">
        <v>33</v>
      </c>
      <c r="J115">
        <f t="shared" si="2"/>
        <v>0</v>
      </c>
      <c r="L115">
        <f t="shared" si="3"/>
        <v>0</v>
      </c>
    </row>
    <row r="116" spans="1:12" x14ac:dyDescent="0.25">
      <c r="A116">
        <v>1754</v>
      </c>
      <c r="B116" t="s">
        <v>59</v>
      </c>
      <c r="C116" t="s">
        <v>90</v>
      </c>
      <c r="D116" t="s">
        <v>33</v>
      </c>
      <c r="J116">
        <f t="shared" si="2"/>
        <v>0</v>
      </c>
      <c r="L116">
        <f t="shared" si="3"/>
        <v>0</v>
      </c>
    </row>
    <row r="117" spans="1:12" x14ac:dyDescent="0.25">
      <c r="A117">
        <v>1754</v>
      </c>
      <c r="B117" t="s">
        <v>88</v>
      </c>
      <c r="C117" t="s">
        <v>90</v>
      </c>
      <c r="D117" t="s">
        <v>33</v>
      </c>
      <c r="J117">
        <f t="shared" si="2"/>
        <v>0</v>
      </c>
      <c r="L117">
        <f t="shared" si="3"/>
        <v>0</v>
      </c>
    </row>
    <row r="118" spans="1:12" x14ac:dyDescent="0.25">
      <c r="A118">
        <v>1754</v>
      </c>
      <c r="B118" t="s">
        <v>94</v>
      </c>
      <c r="C118" t="s">
        <v>90</v>
      </c>
      <c r="D118" t="s">
        <v>33</v>
      </c>
      <c r="J118">
        <f t="shared" si="2"/>
        <v>0</v>
      </c>
      <c r="L118">
        <f t="shared" si="3"/>
        <v>0</v>
      </c>
    </row>
    <row r="119" spans="1:12" x14ac:dyDescent="0.25">
      <c r="A119">
        <v>1754</v>
      </c>
      <c r="B119" t="s">
        <v>84</v>
      </c>
      <c r="C119" t="s">
        <v>90</v>
      </c>
      <c r="D119" t="s">
        <v>33</v>
      </c>
      <c r="J119">
        <f t="shared" si="2"/>
        <v>0</v>
      </c>
      <c r="L119">
        <f t="shared" si="3"/>
        <v>0</v>
      </c>
    </row>
    <row r="120" spans="1:12" x14ac:dyDescent="0.25">
      <c r="A120">
        <v>1754</v>
      </c>
      <c r="B120" t="s">
        <v>60</v>
      </c>
      <c r="C120" t="s">
        <v>90</v>
      </c>
      <c r="D120" t="s">
        <v>33</v>
      </c>
      <c r="E120">
        <v>34</v>
      </c>
      <c r="J120">
        <f t="shared" si="2"/>
        <v>76160</v>
      </c>
      <c r="L120">
        <f t="shared" si="3"/>
        <v>34</v>
      </c>
    </row>
    <row r="121" spans="1:12" x14ac:dyDescent="0.25">
      <c r="A121">
        <v>1754</v>
      </c>
      <c r="B121" t="s">
        <v>85</v>
      </c>
      <c r="C121" t="s">
        <v>90</v>
      </c>
      <c r="D121" t="s">
        <v>33</v>
      </c>
      <c r="J121">
        <f t="shared" si="2"/>
        <v>0</v>
      </c>
      <c r="L121">
        <f t="shared" si="3"/>
        <v>0</v>
      </c>
    </row>
    <row r="122" spans="1:12" x14ac:dyDescent="0.25">
      <c r="A122">
        <v>1754</v>
      </c>
      <c r="B122" t="s">
        <v>61</v>
      </c>
      <c r="C122" t="s">
        <v>90</v>
      </c>
      <c r="D122" t="s">
        <v>33</v>
      </c>
      <c r="J122">
        <f t="shared" si="2"/>
        <v>0</v>
      </c>
      <c r="L122">
        <f t="shared" si="3"/>
        <v>0</v>
      </c>
    </row>
    <row r="123" spans="1:12" x14ac:dyDescent="0.25">
      <c r="A123">
        <v>1754</v>
      </c>
      <c r="B123" t="s">
        <v>86</v>
      </c>
      <c r="C123" t="s">
        <v>90</v>
      </c>
      <c r="D123" t="s">
        <v>33</v>
      </c>
      <c r="J123">
        <f t="shared" si="2"/>
        <v>0</v>
      </c>
      <c r="L123">
        <f t="shared" si="3"/>
        <v>0</v>
      </c>
    </row>
    <row r="124" spans="1:12" x14ac:dyDescent="0.25">
      <c r="A124">
        <v>1754</v>
      </c>
      <c r="B124" t="s">
        <v>68</v>
      </c>
      <c r="C124" t="s">
        <v>90</v>
      </c>
      <c r="D124" t="s">
        <v>33</v>
      </c>
      <c r="J124">
        <f t="shared" si="2"/>
        <v>0</v>
      </c>
      <c r="L124">
        <f t="shared" si="3"/>
        <v>0</v>
      </c>
    </row>
    <row r="125" spans="1:12" x14ac:dyDescent="0.25">
      <c r="A125">
        <v>1754</v>
      </c>
      <c r="B125" t="s">
        <v>62</v>
      </c>
      <c r="C125" t="s">
        <v>90</v>
      </c>
      <c r="D125" t="s">
        <v>33</v>
      </c>
      <c r="J125">
        <f t="shared" si="2"/>
        <v>0</v>
      </c>
      <c r="L125">
        <f t="shared" si="3"/>
        <v>0</v>
      </c>
    </row>
    <row r="126" spans="1:12" x14ac:dyDescent="0.25">
      <c r="A126">
        <v>1754</v>
      </c>
      <c r="B126" t="s">
        <v>63</v>
      </c>
      <c r="C126" t="s">
        <v>90</v>
      </c>
      <c r="D126" t="s">
        <v>33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  <c r="F1" s="1" t="s">
        <v>27</v>
      </c>
      <c r="G1" s="1" t="s">
        <v>28</v>
      </c>
      <c r="H1" s="1" t="s">
        <v>29</v>
      </c>
      <c r="I1" s="1"/>
      <c r="J1" s="1" t="s">
        <v>30</v>
      </c>
      <c r="K1" s="1"/>
      <c r="L1" s="1" t="s">
        <v>50</v>
      </c>
      <c r="O1" s="1"/>
    </row>
    <row r="2" spans="1:15" x14ac:dyDescent="0.25">
      <c r="B2" t="s">
        <v>53</v>
      </c>
      <c r="C2" t="s">
        <v>96</v>
      </c>
      <c r="D2" t="s">
        <v>31</v>
      </c>
      <c r="J2">
        <f>(E2*2240)+(F2*112)+(G2*28)+H2</f>
        <v>0</v>
      </c>
      <c r="L2">
        <f>J2/2240</f>
        <v>0</v>
      </c>
    </row>
    <row r="3" spans="1:15" x14ac:dyDescent="0.25">
      <c r="B3" t="s">
        <v>55</v>
      </c>
      <c r="C3" t="s">
        <v>96</v>
      </c>
      <c r="D3" t="s">
        <v>31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B4" t="s">
        <v>34</v>
      </c>
      <c r="C4" t="s">
        <v>96</v>
      </c>
      <c r="D4" t="s">
        <v>31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96</v>
      </c>
      <c r="D5" t="s">
        <v>31</v>
      </c>
      <c r="J5">
        <f t="shared" si="0"/>
        <v>0</v>
      </c>
      <c r="L5">
        <f t="shared" si="1"/>
        <v>0</v>
      </c>
    </row>
    <row r="6" spans="1:15" x14ac:dyDescent="0.25">
      <c r="B6" t="s">
        <v>56</v>
      </c>
      <c r="C6" t="s">
        <v>96</v>
      </c>
      <c r="D6" t="s">
        <v>31</v>
      </c>
      <c r="J6">
        <f t="shared" si="0"/>
        <v>0</v>
      </c>
      <c r="L6">
        <f t="shared" si="1"/>
        <v>0</v>
      </c>
    </row>
    <row r="7" spans="1:15" x14ac:dyDescent="0.25">
      <c r="B7" t="s">
        <v>67</v>
      </c>
      <c r="C7" t="s">
        <v>96</v>
      </c>
      <c r="D7" t="s">
        <v>31</v>
      </c>
      <c r="J7">
        <f t="shared" si="0"/>
        <v>0</v>
      </c>
      <c r="L7">
        <f t="shared" si="1"/>
        <v>0</v>
      </c>
    </row>
    <row r="8" spans="1:15" x14ac:dyDescent="0.25">
      <c r="B8" t="s">
        <v>41</v>
      </c>
      <c r="C8" t="s">
        <v>96</v>
      </c>
      <c r="D8" t="s">
        <v>31</v>
      </c>
      <c r="J8">
        <f t="shared" si="0"/>
        <v>0</v>
      </c>
      <c r="L8">
        <f t="shared" si="1"/>
        <v>0</v>
      </c>
    </row>
    <row r="9" spans="1:15" x14ac:dyDescent="0.25">
      <c r="B9" t="s">
        <v>74</v>
      </c>
      <c r="C9" t="s">
        <v>96</v>
      </c>
      <c r="D9" t="s">
        <v>31</v>
      </c>
      <c r="J9">
        <f t="shared" si="0"/>
        <v>0</v>
      </c>
      <c r="L9">
        <f t="shared" si="1"/>
        <v>0</v>
      </c>
    </row>
    <row r="10" spans="1:15" x14ac:dyDescent="0.25">
      <c r="B10" t="s">
        <v>100</v>
      </c>
      <c r="C10" t="s">
        <v>96</v>
      </c>
      <c r="D10" t="s">
        <v>31</v>
      </c>
      <c r="J10">
        <f t="shared" si="0"/>
        <v>0</v>
      </c>
      <c r="L10">
        <f t="shared" si="1"/>
        <v>0</v>
      </c>
    </row>
    <row r="11" spans="1:15" x14ac:dyDescent="0.25">
      <c r="B11" t="s">
        <v>5</v>
      </c>
      <c r="C11" t="s">
        <v>96</v>
      </c>
      <c r="D11" t="s">
        <v>31</v>
      </c>
      <c r="J11">
        <f t="shared" si="0"/>
        <v>0</v>
      </c>
      <c r="L11">
        <f t="shared" si="1"/>
        <v>0</v>
      </c>
    </row>
    <row r="12" spans="1:15" x14ac:dyDescent="0.25">
      <c r="B12" t="s">
        <v>57</v>
      </c>
      <c r="C12" t="s">
        <v>96</v>
      </c>
      <c r="D12" t="s">
        <v>31</v>
      </c>
      <c r="J12">
        <f t="shared" si="0"/>
        <v>0</v>
      </c>
      <c r="L12">
        <f t="shared" si="1"/>
        <v>0</v>
      </c>
    </row>
    <row r="13" spans="1:15" x14ac:dyDescent="0.25">
      <c r="B13" t="s">
        <v>6</v>
      </c>
      <c r="C13" t="s">
        <v>96</v>
      </c>
      <c r="D13" t="s">
        <v>31</v>
      </c>
      <c r="J13">
        <f t="shared" si="0"/>
        <v>0</v>
      </c>
      <c r="L13">
        <f t="shared" si="1"/>
        <v>0</v>
      </c>
    </row>
    <row r="14" spans="1:15" x14ac:dyDescent="0.25">
      <c r="B14" t="s">
        <v>92</v>
      </c>
      <c r="C14" t="s">
        <v>96</v>
      </c>
      <c r="D14" t="s">
        <v>31</v>
      </c>
      <c r="J14">
        <f t="shared" si="0"/>
        <v>0</v>
      </c>
      <c r="L14">
        <f t="shared" si="1"/>
        <v>0</v>
      </c>
    </row>
    <row r="15" spans="1:15" x14ac:dyDescent="0.25">
      <c r="B15" t="s">
        <v>58</v>
      </c>
      <c r="C15" t="s">
        <v>96</v>
      </c>
      <c r="D15" t="s">
        <v>31</v>
      </c>
      <c r="J15">
        <f t="shared" si="0"/>
        <v>0</v>
      </c>
      <c r="L15">
        <f t="shared" si="1"/>
        <v>0</v>
      </c>
    </row>
    <row r="16" spans="1:15" x14ac:dyDescent="0.25">
      <c r="B16" t="s">
        <v>7</v>
      </c>
      <c r="C16" t="s">
        <v>96</v>
      </c>
      <c r="D16" t="s">
        <v>31</v>
      </c>
      <c r="J16">
        <f t="shared" si="0"/>
        <v>0</v>
      </c>
      <c r="L16">
        <f t="shared" si="1"/>
        <v>0</v>
      </c>
    </row>
    <row r="17" spans="2:12" x14ac:dyDescent="0.25">
      <c r="B17" t="s">
        <v>35</v>
      </c>
      <c r="C17" t="s">
        <v>96</v>
      </c>
      <c r="D17" t="s">
        <v>31</v>
      </c>
      <c r="J17">
        <f t="shared" si="0"/>
        <v>0</v>
      </c>
      <c r="L17">
        <f t="shared" si="1"/>
        <v>0</v>
      </c>
    </row>
    <row r="18" spans="2:12" x14ac:dyDescent="0.25">
      <c r="B18" t="s">
        <v>8</v>
      </c>
      <c r="C18" t="s">
        <v>96</v>
      </c>
      <c r="D18" t="s">
        <v>31</v>
      </c>
      <c r="J18">
        <f t="shared" si="0"/>
        <v>0</v>
      </c>
      <c r="L18">
        <f t="shared" si="1"/>
        <v>0</v>
      </c>
    </row>
    <row r="19" spans="2:12" x14ac:dyDescent="0.25">
      <c r="B19" t="s">
        <v>38</v>
      </c>
      <c r="C19" t="s">
        <v>96</v>
      </c>
      <c r="D19" t="s">
        <v>31</v>
      </c>
      <c r="J19">
        <f t="shared" si="0"/>
        <v>0</v>
      </c>
      <c r="L19">
        <f t="shared" si="1"/>
        <v>0</v>
      </c>
    </row>
    <row r="20" spans="2:12" x14ac:dyDescent="0.25">
      <c r="B20" t="s">
        <v>75</v>
      </c>
      <c r="C20" t="s">
        <v>96</v>
      </c>
      <c r="D20" t="s">
        <v>31</v>
      </c>
      <c r="J20">
        <f t="shared" si="0"/>
        <v>0</v>
      </c>
      <c r="L20">
        <f t="shared" si="1"/>
        <v>0</v>
      </c>
    </row>
    <row r="21" spans="2:12" x14ac:dyDescent="0.25">
      <c r="B21" t="s">
        <v>76</v>
      </c>
      <c r="C21" t="s">
        <v>96</v>
      </c>
      <c r="D21" t="s">
        <v>31</v>
      </c>
      <c r="J21">
        <f t="shared" si="0"/>
        <v>0</v>
      </c>
      <c r="L21">
        <f t="shared" si="1"/>
        <v>0</v>
      </c>
    </row>
    <row r="22" spans="2:12" x14ac:dyDescent="0.25">
      <c r="B22" t="s">
        <v>44</v>
      </c>
      <c r="C22" t="s">
        <v>96</v>
      </c>
      <c r="D22" t="s">
        <v>31</v>
      </c>
      <c r="J22">
        <f t="shared" si="0"/>
        <v>0</v>
      </c>
      <c r="L22">
        <f t="shared" si="1"/>
        <v>0</v>
      </c>
    </row>
    <row r="23" spans="2:12" x14ac:dyDescent="0.25">
      <c r="B23" t="s">
        <v>9</v>
      </c>
      <c r="C23" t="s">
        <v>96</v>
      </c>
      <c r="D23" t="s">
        <v>31</v>
      </c>
      <c r="J23">
        <f t="shared" si="0"/>
        <v>0</v>
      </c>
      <c r="L23">
        <f t="shared" si="1"/>
        <v>0</v>
      </c>
    </row>
    <row r="24" spans="2:12" x14ac:dyDescent="0.25">
      <c r="B24" t="s">
        <v>10</v>
      </c>
      <c r="C24" t="s">
        <v>96</v>
      </c>
      <c r="D24" t="s">
        <v>31</v>
      </c>
      <c r="J24">
        <f t="shared" si="0"/>
        <v>0</v>
      </c>
      <c r="L24">
        <f t="shared" si="1"/>
        <v>0</v>
      </c>
    </row>
    <row r="25" spans="2:12" x14ac:dyDescent="0.25">
      <c r="B25" t="s">
        <v>11</v>
      </c>
      <c r="C25" t="s">
        <v>96</v>
      </c>
      <c r="D25" t="s">
        <v>31</v>
      </c>
      <c r="J25">
        <f t="shared" si="0"/>
        <v>0</v>
      </c>
      <c r="L25">
        <f t="shared" si="1"/>
        <v>0</v>
      </c>
    </row>
    <row r="26" spans="2:12" x14ac:dyDescent="0.25">
      <c r="B26" t="s">
        <v>37</v>
      </c>
      <c r="C26" t="s">
        <v>96</v>
      </c>
      <c r="D26" t="s">
        <v>31</v>
      </c>
      <c r="J26">
        <f t="shared" si="0"/>
        <v>0</v>
      </c>
      <c r="L26">
        <f t="shared" si="1"/>
        <v>0</v>
      </c>
    </row>
    <row r="27" spans="2:12" x14ac:dyDescent="0.25">
      <c r="B27" t="s">
        <v>77</v>
      </c>
      <c r="C27" t="s">
        <v>96</v>
      </c>
      <c r="D27" t="s">
        <v>31</v>
      </c>
      <c r="J27">
        <f t="shared" si="0"/>
        <v>0</v>
      </c>
      <c r="L27">
        <f t="shared" si="1"/>
        <v>0</v>
      </c>
    </row>
    <row r="28" spans="2:12" x14ac:dyDescent="0.25">
      <c r="B28" t="s">
        <v>99</v>
      </c>
      <c r="C28" t="s">
        <v>96</v>
      </c>
      <c r="D28" t="s">
        <v>31</v>
      </c>
      <c r="J28">
        <f t="shared" si="0"/>
        <v>0</v>
      </c>
      <c r="L28">
        <f t="shared" si="1"/>
        <v>0</v>
      </c>
    </row>
    <row r="29" spans="2:12" x14ac:dyDescent="0.25">
      <c r="B29" t="s">
        <v>42</v>
      </c>
      <c r="C29" t="s">
        <v>96</v>
      </c>
      <c r="D29" t="s">
        <v>31</v>
      </c>
      <c r="J29">
        <f t="shared" si="0"/>
        <v>0</v>
      </c>
      <c r="L29">
        <f t="shared" si="1"/>
        <v>0</v>
      </c>
    </row>
    <row r="30" spans="2:12" x14ac:dyDescent="0.25">
      <c r="B30" t="s">
        <v>93</v>
      </c>
      <c r="C30" t="s">
        <v>96</v>
      </c>
      <c r="D30" t="s">
        <v>31</v>
      </c>
      <c r="J30">
        <f t="shared" si="0"/>
        <v>0</v>
      </c>
      <c r="L30">
        <f t="shared" si="1"/>
        <v>0</v>
      </c>
    </row>
    <row r="31" spans="2:12" x14ac:dyDescent="0.25">
      <c r="B31" t="s">
        <v>12</v>
      </c>
      <c r="C31" t="s">
        <v>96</v>
      </c>
      <c r="D31" t="s">
        <v>31</v>
      </c>
      <c r="J31">
        <f t="shared" si="0"/>
        <v>0</v>
      </c>
      <c r="L31">
        <f t="shared" si="1"/>
        <v>0</v>
      </c>
    </row>
    <row r="32" spans="2:12" x14ac:dyDescent="0.25">
      <c r="B32" t="s">
        <v>103</v>
      </c>
      <c r="C32" t="s">
        <v>96</v>
      </c>
      <c r="D32" t="s">
        <v>31</v>
      </c>
      <c r="J32">
        <f t="shared" si="0"/>
        <v>0</v>
      </c>
      <c r="L32">
        <f t="shared" si="1"/>
        <v>0</v>
      </c>
    </row>
    <row r="33" spans="2:12" x14ac:dyDescent="0.25">
      <c r="B33" t="s">
        <v>32</v>
      </c>
      <c r="C33" t="s">
        <v>96</v>
      </c>
      <c r="D33" t="s">
        <v>31</v>
      </c>
      <c r="J33">
        <f t="shared" si="0"/>
        <v>0</v>
      </c>
      <c r="L33">
        <f t="shared" si="1"/>
        <v>0</v>
      </c>
    </row>
    <row r="34" spans="2:12" x14ac:dyDescent="0.25">
      <c r="B34" t="s">
        <v>13</v>
      </c>
      <c r="C34" t="s">
        <v>96</v>
      </c>
      <c r="D34" t="s">
        <v>31</v>
      </c>
      <c r="J34">
        <f t="shared" si="0"/>
        <v>0</v>
      </c>
      <c r="L34">
        <f t="shared" si="1"/>
        <v>0</v>
      </c>
    </row>
    <row r="35" spans="2:12" x14ac:dyDescent="0.25">
      <c r="B35" t="s">
        <v>14</v>
      </c>
      <c r="C35" t="s">
        <v>96</v>
      </c>
      <c r="D35" t="s">
        <v>31</v>
      </c>
      <c r="J35">
        <f t="shared" si="0"/>
        <v>0</v>
      </c>
      <c r="L35">
        <f t="shared" si="1"/>
        <v>0</v>
      </c>
    </row>
    <row r="36" spans="2:12" x14ac:dyDescent="0.25">
      <c r="B36" t="s">
        <v>23</v>
      </c>
      <c r="C36" t="s">
        <v>96</v>
      </c>
      <c r="D36" t="s">
        <v>31</v>
      </c>
      <c r="J36">
        <f t="shared" si="0"/>
        <v>0</v>
      </c>
      <c r="L36">
        <f t="shared" si="1"/>
        <v>0</v>
      </c>
    </row>
    <row r="37" spans="2:12" x14ac:dyDescent="0.25">
      <c r="B37" t="s">
        <v>25</v>
      </c>
      <c r="C37" t="s">
        <v>96</v>
      </c>
      <c r="D37" t="s">
        <v>31</v>
      </c>
      <c r="J37">
        <f t="shared" si="0"/>
        <v>0</v>
      </c>
      <c r="L37">
        <f t="shared" si="1"/>
        <v>0</v>
      </c>
    </row>
    <row r="38" spans="2:12" x14ac:dyDescent="0.25">
      <c r="B38" t="s">
        <v>15</v>
      </c>
      <c r="C38" t="s">
        <v>96</v>
      </c>
      <c r="D38" t="s">
        <v>31</v>
      </c>
      <c r="J38">
        <f t="shared" si="0"/>
        <v>0</v>
      </c>
      <c r="L38">
        <f t="shared" si="1"/>
        <v>0</v>
      </c>
    </row>
    <row r="39" spans="2:12" x14ac:dyDescent="0.25">
      <c r="B39" t="s">
        <v>40</v>
      </c>
      <c r="C39" t="s">
        <v>96</v>
      </c>
      <c r="D39" t="s">
        <v>31</v>
      </c>
      <c r="J39">
        <f t="shared" si="0"/>
        <v>0</v>
      </c>
      <c r="L39">
        <f t="shared" si="1"/>
        <v>0</v>
      </c>
    </row>
    <row r="40" spans="2:12" x14ac:dyDescent="0.25">
      <c r="B40" t="s">
        <v>80</v>
      </c>
      <c r="C40" t="s">
        <v>96</v>
      </c>
      <c r="D40" t="s">
        <v>31</v>
      </c>
      <c r="J40">
        <f t="shared" si="0"/>
        <v>0</v>
      </c>
      <c r="L40">
        <f t="shared" si="1"/>
        <v>0</v>
      </c>
    </row>
    <row r="41" spans="2:12" x14ac:dyDescent="0.25">
      <c r="B41" t="s">
        <v>45</v>
      </c>
      <c r="C41" t="s">
        <v>96</v>
      </c>
      <c r="D41" t="s">
        <v>31</v>
      </c>
      <c r="J41">
        <f t="shared" si="0"/>
        <v>0</v>
      </c>
      <c r="L41">
        <f t="shared" si="1"/>
        <v>0</v>
      </c>
    </row>
    <row r="42" spans="2:12" x14ac:dyDescent="0.25">
      <c r="B42" t="s">
        <v>16</v>
      </c>
      <c r="C42" t="s">
        <v>96</v>
      </c>
      <c r="D42" t="s">
        <v>31</v>
      </c>
      <c r="J42">
        <f t="shared" si="0"/>
        <v>0</v>
      </c>
      <c r="L42">
        <f t="shared" si="1"/>
        <v>0</v>
      </c>
    </row>
    <row r="43" spans="2:12" x14ac:dyDescent="0.25">
      <c r="B43" t="s">
        <v>17</v>
      </c>
      <c r="C43" t="s">
        <v>96</v>
      </c>
      <c r="D43" t="s">
        <v>31</v>
      </c>
      <c r="J43">
        <f t="shared" si="0"/>
        <v>0</v>
      </c>
      <c r="L43">
        <f t="shared" si="1"/>
        <v>0</v>
      </c>
    </row>
    <row r="44" spans="2:12" x14ac:dyDescent="0.25">
      <c r="B44" t="s">
        <v>18</v>
      </c>
      <c r="C44" t="s">
        <v>96</v>
      </c>
      <c r="D44" t="s">
        <v>31</v>
      </c>
      <c r="J44">
        <f t="shared" si="0"/>
        <v>0</v>
      </c>
      <c r="L44">
        <f t="shared" si="1"/>
        <v>0</v>
      </c>
    </row>
    <row r="45" spans="2:12" x14ac:dyDescent="0.25">
      <c r="B45" t="s">
        <v>24</v>
      </c>
      <c r="C45" t="s">
        <v>96</v>
      </c>
      <c r="D45" t="s">
        <v>31</v>
      </c>
      <c r="J45">
        <f t="shared" si="0"/>
        <v>0</v>
      </c>
      <c r="L45">
        <f t="shared" si="1"/>
        <v>0</v>
      </c>
    </row>
    <row r="46" spans="2:12" x14ac:dyDescent="0.25">
      <c r="B46" t="s">
        <v>81</v>
      </c>
      <c r="C46" t="s">
        <v>96</v>
      </c>
      <c r="D46" t="s">
        <v>31</v>
      </c>
      <c r="J46">
        <f t="shared" si="0"/>
        <v>0</v>
      </c>
      <c r="L46">
        <f t="shared" si="1"/>
        <v>0</v>
      </c>
    </row>
    <row r="47" spans="2:12" x14ac:dyDescent="0.25">
      <c r="B47" t="s">
        <v>19</v>
      </c>
      <c r="C47" t="s">
        <v>96</v>
      </c>
      <c r="D47" t="s">
        <v>31</v>
      </c>
      <c r="J47">
        <f t="shared" si="0"/>
        <v>0</v>
      </c>
      <c r="L47">
        <f t="shared" si="1"/>
        <v>0</v>
      </c>
    </row>
    <row r="48" spans="2:12" x14ac:dyDescent="0.25">
      <c r="B48" t="s">
        <v>43</v>
      </c>
      <c r="C48" t="s">
        <v>96</v>
      </c>
      <c r="D48" t="s">
        <v>31</v>
      </c>
      <c r="J48">
        <f t="shared" si="0"/>
        <v>0</v>
      </c>
      <c r="L48">
        <f t="shared" si="1"/>
        <v>0</v>
      </c>
    </row>
    <row r="49" spans="2:12" x14ac:dyDescent="0.25">
      <c r="B49" t="s">
        <v>82</v>
      </c>
      <c r="C49" t="s">
        <v>96</v>
      </c>
      <c r="D49" t="s">
        <v>31</v>
      </c>
      <c r="J49">
        <f t="shared" si="0"/>
        <v>0</v>
      </c>
      <c r="L49">
        <f t="shared" si="1"/>
        <v>0</v>
      </c>
    </row>
    <row r="50" spans="2:12" x14ac:dyDescent="0.25">
      <c r="B50" t="s">
        <v>52</v>
      </c>
      <c r="C50" t="s">
        <v>96</v>
      </c>
      <c r="D50" t="s">
        <v>31</v>
      </c>
      <c r="J50">
        <f t="shared" si="0"/>
        <v>0</v>
      </c>
      <c r="L50">
        <f t="shared" si="1"/>
        <v>0</v>
      </c>
    </row>
    <row r="51" spans="2:12" x14ac:dyDescent="0.25">
      <c r="B51" t="s">
        <v>91</v>
      </c>
      <c r="C51" t="s">
        <v>96</v>
      </c>
      <c r="D51" t="s">
        <v>31</v>
      </c>
      <c r="J51">
        <f t="shared" si="0"/>
        <v>0</v>
      </c>
      <c r="L51">
        <f t="shared" si="1"/>
        <v>0</v>
      </c>
    </row>
    <row r="52" spans="2:12" x14ac:dyDescent="0.25">
      <c r="B52" t="s">
        <v>20</v>
      </c>
      <c r="C52" t="s">
        <v>96</v>
      </c>
      <c r="D52" t="s">
        <v>31</v>
      </c>
      <c r="J52">
        <f t="shared" si="0"/>
        <v>0</v>
      </c>
      <c r="L52">
        <f t="shared" si="1"/>
        <v>0</v>
      </c>
    </row>
    <row r="53" spans="2:12" x14ac:dyDescent="0.25">
      <c r="B53" t="s">
        <v>21</v>
      </c>
      <c r="C53" t="s">
        <v>96</v>
      </c>
      <c r="D53" t="s">
        <v>31</v>
      </c>
      <c r="J53">
        <f t="shared" si="0"/>
        <v>0</v>
      </c>
      <c r="L53">
        <f t="shared" si="1"/>
        <v>0</v>
      </c>
    </row>
    <row r="54" spans="2:12" x14ac:dyDescent="0.25">
      <c r="B54" t="s">
        <v>87</v>
      </c>
      <c r="C54" t="s">
        <v>96</v>
      </c>
      <c r="D54" t="s">
        <v>31</v>
      </c>
      <c r="J54">
        <f t="shared" si="0"/>
        <v>0</v>
      </c>
      <c r="L54">
        <f t="shared" si="1"/>
        <v>0</v>
      </c>
    </row>
    <row r="55" spans="2:12" x14ac:dyDescent="0.25">
      <c r="B55" t="s">
        <v>22</v>
      </c>
      <c r="C55" t="s">
        <v>96</v>
      </c>
      <c r="D55" t="s">
        <v>31</v>
      </c>
      <c r="J55">
        <f t="shared" si="0"/>
        <v>0</v>
      </c>
      <c r="L55">
        <f t="shared" si="1"/>
        <v>0</v>
      </c>
    </row>
    <row r="56" spans="2:12" x14ac:dyDescent="0.25">
      <c r="B56" t="s">
        <v>59</v>
      </c>
      <c r="C56" t="s">
        <v>96</v>
      </c>
      <c r="D56" t="s">
        <v>31</v>
      </c>
      <c r="J56">
        <f t="shared" si="0"/>
        <v>0</v>
      </c>
      <c r="L56">
        <f t="shared" si="1"/>
        <v>0</v>
      </c>
    </row>
    <row r="57" spans="2:12" x14ac:dyDescent="0.25">
      <c r="B57" t="s">
        <v>94</v>
      </c>
      <c r="C57" t="s">
        <v>96</v>
      </c>
      <c r="D57" t="s">
        <v>31</v>
      </c>
      <c r="J57">
        <f t="shared" si="0"/>
        <v>0</v>
      </c>
      <c r="L57">
        <f t="shared" si="1"/>
        <v>0</v>
      </c>
    </row>
    <row r="58" spans="2:12" x14ac:dyDescent="0.25">
      <c r="B58" t="s">
        <v>84</v>
      </c>
      <c r="C58" t="s">
        <v>96</v>
      </c>
      <c r="D58" t="s">
        <v>31</v>
      </c>
      <c r="J58">
        <f t="shared" si="0"/>
        <v>0</v>
      </c>
      <c r="L58">
        <f t="shared" si="1"/>
        <v>0</v>
      </c>
    </row>
    <row r="59" spans="2:12" x14ac:dyDescent="0.25">
      <c r="B59" t="s">
        <v>60</v>
      </c>
      <c r="C59" t="s">
        <v>96</v>
      </c>
      <c r="D59" t="s">
        <v>31</v>
      </c>
      <c r="J59">
        <f t="shared" si="0"/>
        <v>0</v>
      </c>
      <c r="L59">
        <f t="shared" si="1"/>
        <v>0</v>
      </c>
    </row>
    <row r="60" spans="2:12" x14ac:dyDescent="0.25">
      <c r="B60" t="s">
        <v>85</v>
      </c>
      <c r="C60" t="s">
        <v>96</v>
      </c>
      <c r="D60" t="s">
        <v>31</v>
      </c>
      <c r="J60">
        <f t="shared" si="0"/>
        <v>0</v>
      </c>
      <c r="L60">
        <f t="shared" si="1"/>
        <v>0</v>
      </c>
    </row>
    <row r="61" spans="2:12" x14ac:dyDescent="0.25">
      <c r="B61" t="s">
        <v>61</v>
      </c>
      <c r="C61" t="s">
        <v>96</v>
      </c>
      <c r="D61" t="s">
        <v>31</v>
      </c>
      <c r="J61">
        <f t="shared" si="0"/>
        <v>0</v>
      </c>
      <c r="L61">
        <f t="shared" si="1"/>
        <v>0</v>
      </c>
    </row>
    <row r="62" spans="2:12" x14ac:dyDescent="0.25">
      <c r="B62" t="s">
        <v>86</v>
      </c>
      <c r="C62" t="s">
        <v>96</v>
      </c>
      <c r="D62" t="s">
        <v>31</v>
      </c>
      <c r="J62">
        <f t="shared" si="0"/>
        <v>0</v>
      </c>
      <c r="L62">
        <f t="shared" si="1"/>
        <v>0</v>
      </c>
    </row>
    <row r="63" spans="2:12" x14ac:dyDescent="0.25">
      <c r="B63" t="s">
        <v>68</v>
      </c>
      <c r="C63" t="s">
        <v>96</v>
      </c>
      <c r="D63" t="s">
        <v>31</v>
      </c>
      <c r="J63">
        <f t="shared" si="0"/>
        <v>0</v>
      </c>
      <c r="L63">
        <f t="shared" si="1"/>
        <v>0</v>
      </c>
    </row>
    <row r="64" spans="2:12" x14ac:dyDescent="0.25">
      <c r="B64" t="s">
        <v>62</v>
      </c>
      <c r="C64" t="s">
        <v>96</v>
      </c>
      <c r="D64" t="s">
        <v>31</v>
      </c>
      <c r="J64">
        <f t="shared" si="0"/>
        <v>0</v>
      </c>
      <c r="L64">
        <f t="shared" si="1"/>
        <v>0</v>
      </c>
    </row>
    <row r="65" spans="2:12" x14ac:dyDescent="0.25">
      <c r="B65" t="s">
        <v>63</v>
      </c>
      <c r="C65" t="s">
        <v>96</v>
      </c>
      <c r="D65" t="s">
        <v>31</v>
      </c>
      <c r="J65">
        <f t="shared" si="0"/>
        <v>0</v>
      </c>
      <c r="L65">
        <f t="shared" si="1"/>
        <v>0</v>
      </c>
    </row>
    <row r="66" spans="2:12" x14ac:dyDescent="0.25">
      <c r="B66" t="s">
        <v>53</v>
      </c>
      <c r="C66" t="s">
        <v>96</v>
      </c>
      <c r="D66" t="s">
        <v>33</v>
      </c>
      <c r="J66">
        <f t="shared" si="0"/>
        <v>0</v>
      </c>
      <c r="L66">
        <f t="shared" si="1"/>
        <v>0</v>
      </c>
    </row>
    <row r="67" spans="2:12" x14ac:dyDescent="0.25">
      <c r="B67" t="s">
        <v>55</v>
      </c>
      <c r="C67" t="s">
        <v>96</v>
      </c>
      <c r="D67" t="s">
        <v>33</v>
      </c>
      <c r="J67">
        <f t="shared" si="0"/>
        <v>0</v>
      </c>
      <c r="L67">
        <f t="shared" si="1"/>
        <v>0</v>
      </c>
    </row>
    <row r="68" spans="2:12" x14ac:dyDescent="0.25">
      <c r="B68" t="s">
        <v>34</v>
      </c>
      <c r="C68" t="s">
        <v>96</v>
      </c>
      <c r="D68" t="s">
        <v>33</v>
      </c>
      <c r="J68">
        <f t="shared" si="0"/>
        <v>0</v>
      </c>
      <c r="L68">
        <f t="shared" si="1"/>
        <v>0</v>
      </c>
    </row>
    <row r="69" spans="2:12" x14ac:dyDescent="0.25">
      <c r="B69" t="s">
        <v>4</v>
      </c>
      <c r="C69" t="s">
        <v>96</v>
      </c>
      <c r="D69" t="s">
        <v>33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2:12" x14ac:dyDescent="0.25">
      <c r="B70" t="s">
        <v>56</v>
      </c>
      <c r="C70" t="s">
        <v>96</v>
      </c>
      <c r="D70" t="s">
        <v>33</v>
      </c>
      <c r="J70">
        <f t="shared" si="2"/>
        <v>0</v>
      </c>
      <c r="L70">
        <f t="shared" si="3"/>
        <v>0</v>
      </c>
    </row>
    <row r="71" spans="2:12" x14ac:dyDescent="0.25">
      <c r="B71" t="s">
        <v>67</v>
      </c>
      <c r="C71" t="s">
        <v>96</v>
      </c>
      <c r="D71" t="s">
        <v>33</v>
      </c>
      <c r="J71">
        <f t="shared" si="2"/>
        <v>0</v>
      </c>
      <c r="L71">
        <f t="shared" si="3"/>
        <v>0</v>
      </c>
    </row>
    <row r="72" spans="2:12" x14ac:dyDescent="0.25">
      <c r="B72" t="s">
        <v>41</v>
      </c>
      <c r="C72" t="s">
        <v>96</v>
      </c>
      <c r="D72" t="s">
        <v>33</v>
      </c>
      <c r="J72">
        <f t="shared" si="2"/>
        <v>0</v>
      </c>
      <c r="L72">
        <f t="shared" si="3"/>
        <v>0</v>
      </c>
    </row>
    <row r="73" spans="2:12" x14ac:dyDescent="0.25">
      <c r="B73" t="s">
        <v>74</v>
      </c>
      <c r="C73" t="s">
        <v>96</v>
      </c>
      <c r="D73" t="s">
        <v>33</v>
      </c>
      <c r="J73">
        <f t="shared" si="2"/>
        <v>0</v>
      </c>
      <c r="L73">
        <f t="shared" si="3"/>
        <v>0</v>
      </c>
    </row>
    <row r="74" spans="2:12" x14ac:dyDescent="0.25">
      <c r="B74" t="s">
        <v>5</v>
      </c>
      <c r="C74" t="s">
        <v>96</v>
      </c>
      <c r="D74" t="s">
        <v>33</v>
      </c>
      <c r="J74">
        <f t="shared" si="2"/>
        <v>0</v>
      </c>
      <c r="L74">
        <f t="shared" si="3"/>
        <v>0</v>
      </c>
    </row>
    <row r="75" spans="2:12" x14ac:dyDescent="0.25">
      <c r="B75" t="s">
        <v>57</v>
      </c>
      <c r="C75" t="s">
        <v>96</v>
      </c>
      <c r="D75" t="s">
        <v>33</v>
      </c>
      <c r="J75">
        <f t="shared" si="2"/>
        <v>0</v>
      </c>
      <c r="L75">
        <f t="shared" si="3"/>
        <v>0</v>
      </c>
    </row>
    <row r="76" spans="2:12" x14ac:dyDescent="0.25">
      <c r="B76" t="s">
        <v>6</v>
      </c>
      <c r="C76" t="s">
        <v>96</v>
      </c>
      <c r="D76" t="s">
        <v>33</v>
      </c>
      <c r="J76">
        <f t="shared" si="2"/>
        <v>0</v>
      </c>
      <c r="L76">
        <f t="shared" si="3"/>
        <v>0</v>
      </c>
    </row>
    <row r="77" spans="2:12" x14ac:dyDescent="0.25">
      <c r="B77" t="s">
        <v>58</v>
      </c>
      <c r="C77" t="s">
        <v>96</v>
      </c>
      <c r="D77" t="s">
        <v>33</v>
      </c>
      <c r="J77">
        <f t="shared" si="2"/>
        <v>0</v>
      </c>
      <c r="L77">
        <f t="shared" si="3"/>
        <v>0</v>
      </c>
    </row>
    <row r="78" spans="2:12" x14ac:dyDescent="0.25">
      <c r="B78" t="s">
        <v>7</v>
      </c>
      <c r="C78" t="s">
        <v>96</v>
      </c>
      <c r="D78" t="s">
        <v>33</v>
      </c>
      <c r="J78">
        <f t="shared" si="2"/>
        <v>0</v>
      </c>
      <c r="L78">
        <f t="shared" si="3"/>
        <v>0</v>
      </c>
    </row>
    <row r="79" spans="2:12" x14ac:dyDescent="0.25">
      <c r="B79" t="s">
        <v>35</v>
      </c>
      <c r="C79" t="s">
        <v>96</v>
      </c>
      <c r="D79" t="s">
        <v>33</v>
      </c>
      <c r="J79">
        <f t="shared" si="2"/>
        <v>0</v>
      </c>
      <c r="L79">
        <f t="shared" si="3"/>
        <v>0</v>
      </c>
    </row>
    <row r="80" spans="2:12" x14ac:dyDescent="0.25">
      <c r="B80" t="s">
        <v>8</v>
      </c>
      <c r="C80" t="s">
        <v>96</v>
      </c>
      <c r="D80" t="s">
        <v>33</v>
      </c>
      <c r="J80">
        <f t="shared" si="2"/>
        <v>0</v>
      </c>
      <c r="L80">
        <f t="shared" si="3"/>
        <v>0</v>
      </c>
    </row>
    <row r="81" spans="2:12" x14ac:dyDescent="0.25">
      <c r="B81" t="s">
        <v>38</v>
      </c>
      <c r="C81" t="s">
        <v>96</v>
      </c>
      <c r="D81" t="s">
        <v>33</v>
      </c>
      <c r="J81">
        <f t="shared" si="2"/>
        <v>0</v>
      </c>
      <c r="L81">
        <f t="shared" si="3"/>
        <v>0</v>
      </c>
    </row>
    <row r="82" spans="2:12" x14ac:dyDescent="0.25">
      <c r="B82" t="s">
        <v>75</v>
      </c>
      <c r="C82" t="s">
        <v>96</v>
      </c>
      <c r="D82" t="s">
        <v>33</v>
      </c>
      <c r="J82">
        <f t="shared" si="2"/>
        <v>0</v>
      </c>
      <c r="L82">
        <f t="shared" si="3"/>
        <v>0</v>
      </c>
    </row>
    <row r="83" spans="2:12" x14ac:dyDescent="0.25">
      <c r="B83" t="s">
        <v>76</v>
      </c>
      <c r="C83" t="s">
        <v>96</v>
      </c>
      <c r="D83" t="s">
        <v>33</v>
      </c>
      <c r="J83">
        <f t="shared" si="2"/>
        <v>0</v>
      </c>
      <c r="L83">
        <f t="shared" si="3"/>
        <v>0</v>
      </c>
    </row>
    <row r="84" spans="2:12" x14ac:dyDescent="0.25">
      <c r="B84" t="s">
        <v>44</v>
      </c>
      <c r="C84" t="s">
        <v>96</v>
      </c>
      <c r="D84" t="s">
        <v>33</v>
      </c>
      <c r="J84">
        <f t="shared" si="2"/>
        <v>0</v>
      </c>
      <c r="L84">
        <f t="shared" si="3"/>
        <v>0</v>
      </c>
    </row>
    <row r="85" spans="2:12" x14ac:dyDescent="0.25">
      <c r="B85" t="s">
        <v>9</v>
      </c>
      <c r="C85" t="s">
        <v>96</v>
      </c>
      <c r="D85" t="s">
        <v>33</v>
      </c>
      <c r="J85">
        <f t="shared" si="2"/>
        <v>0</v>
      </c>
      <c r="L85">
        <f t="shared" si="3"/>
        <v>0</v>
      </c>
    </row>
    <row r="86" spans="2:12" x14ac:dyDescent="0.25">
      <c r="B86" t="s">
        <v>10</v>
      </c>
      <c r="C86" t="s">
        <v>96</v>
      </c>
      <c r="D86" t="s">
        <v>33</v>
      </c>
      <c r="J86">
        <f t="shared" si="2"/>
        <v>0</v>
      </c>
      <c r="L86">
        <f t="shared" si="3"/>
        <v>0</v>
      </c>
    </row>
    <row r="87" spans="2:12" x14ac:dyDescent="0.25">
      <c r="B87" t="s">
        <v>11</v>
      </c>
      <c r="C87" t="s">
        <v>96</v>
      </c>
      <c r="D87" t="s">
        <v>33</v>
      </c>
      <c r="J87">
        <f t="shared" si="2"/>
        <v>0</v>
      </c>
      <c r="L87">
        <f t="shared" si="3"/>
        <v>0</v>
      </c>
    </row>
    <row r="88" spans="2:12" x14ac:dyDescent="0.25">
      <c r="B88" t="s">
        <v>37</v>
      </c>
      <c r="C88" t="s">
        <v>96</v>
      </c>
      <c r="D88" t="s">
        <v>33</v>
      </c>
      <c r="J88">
        <f t="shared" si="2"/>
        <v>0</v>
      </c>
      <c r="L88">
        <f t="shared" si="3"/>
        <v>0</v>
      </c>
    </row>
    <row r="89" spans="2:12" x14ac:dyDescent="0.25">
      <c r="B89" t="s">
        <v>77</v>
      </c>
      <c r="C89" t="s">
        <v>96</v>
      </c>
      <c r="D89" t="s">
        <v>33</v>
      </c>
      <c r="J89">
        <f t="shared" si="2"/>
        <v>0</v>
      </c>
      <c r="L89">
        <f t="shared" si="3"/>
        <v>0</v>
      </c>
    </row>
    <row r="90" spans="2:12" x14ac:dyDescent="0.25">
      <c r="B90" t="s">
        <v>99</v>
      </c>
      <c r="C90" t="s">
        <v>96</v>
      </c>
      <c r="D90" t="s">
        <v>33</v>
      </c>
      <c r="J90">
        <f t="shared" si="2"/>
        <v>0</v>
      </c>
      <c r="L90">
        <f t="shared" si="3"/>
        <v>0</v>
      </c>
    </row>
    <row r="91" spans="2:12" x14ac:dyDescent="0.25">
      <c r="B91" t="s">
        <v>42</v>
      </c>
      <c r="C91" t="s">
        <v>96</v>
      </c>
      <c r="D91" t="s">
        <v>33</v>
      </c>
      <c r="J91">
        <f t="shared" si="2"/>
        <v>0</v>
      </c>
      <c r="L91">
        <f t="shared" si="3"/>
        <v>0</v>
      </c>
    </row>
    <row r="92" spans="2:12" x14ac:dyDescent="0.25">
      <c r="B92" t="s">
        <v>93</v>
      </c>
      <c r="C92" t="s">
        <v>96</v>
      </c>
      <c r="D92" t="s">
        <v>33</v>
      </c>
      <c r="J92">
        <f t="shared" si="2"/>
        <v>0</v>
      </c>
      <c r="L92">
        <f t="shared" si="3"/>
        <v>0</v>
      </c>
    </row>
    <row r="93" spans="2:12" x14ac:dyDescent="0.25">
      <c r="B93" t="s">
        <v>12</v>
      </c>
      <c r="C93" t="s">
        <v>96</v>
      </c>
      <c r="D93" t="s">
        <v>33</v>
      </c>
      <c r="J93">
        <f t="shared" si="2"/>
        <v>0</v>
      </c>
      <c r="L93">
        <f t="shared" si="3"/>
        <v>0</v>
      </c>
    </row>
    <row r="94" spans="2:12" x14ac:dyDescent="0.25">
      <c r="B94" t="s">
        <v>103</v>
      </c>
      <c r="C94" t="s">
        <v>96</v>
      </c>
      <c r="D94" t="s">
        <v>33</v>
      </c>
      <c r="J94">
        <f t="shared" si="2"/>
        <v>0</v>
      </c>
      <c r="L94">
        <f t="shared" si="3"/>
        <v>0</v>
      </c>
    </row>
    <row r="95" spans="2:12" x14ac:dyDescent="0.25">
      <c r="B95" t="s">
        <v>32</v>
      </c>
      <c r="C95" t="s">
        <v>96</v>
      </c>
      <c r="D95" t="s">
        <v>33</v>
      </c>
      <c r="J95">
        <f t="shared" si="2"/>
        <v>0</v>
      </c>
      <c r="L95">
        <f t="shared" si="3"/>
        <v>0</v>
      </c>
    </row>
    <row r="96" spans="2:12" x14ac:dyDescent="0.25">
      <c r="B96" t="s">
        <v>13</v>
      </c>
      <c r="C96" t="s">
        <v>96</v>
      </c>
      <c r="D96" t="s">
        <v>33</v>
      </c>
      <c r="J96">
        <f t="shared" si="2"/>
        <v>0</v>
      </c>
      <c r="L96">
        <f t="shared" si="3"/>
        <v>0</v>
      </c>
    </row>
    <row r="97" spans="2:12" x14ac:dyDescent="0.25">
      <c r="B97" t="s">
        <v>14</v>
      </c>
      <c r="C97" t="s">
        <v>96</v>
      </c>
      <c r="D97" t="s">
        <v>33</v>
      </c>
      <c r="J97">
        <f t="shared" si="2"/>
        <v>0</v>
      </c>
      <c r="L97">
        <f t="shared" si="3"/>
        <v>0</v>
      </c>
    </row>
    <row r="98" spans="2:12" x14ac:dyDescent="0.25">
      <c r="B98" t="s">
        <v>23</v>
      </c>
      <c r="C98" t="s">
        <v>96</v>
      </c>
      <c r="D98" t="s">
        <v>33</v>
      </c>
      <c r="J98">
        <f t="shared" si="2"/>
        <v>0</v>
      </c>
      <c r="L98">
        <f t="shared" si="3"/>
        <v>0</v>
      </c>
    </row>
    <row r="99" spans="2:12" x14ac:dyDescent="0.25">
      <c r="B99" t="s">
        <v>25</v>
      </c>
      <c r="C99" t="s">
        <v>96</v>
      </c>
      <c r="D99" t="s">
        <v>33</v>
      </c>
      <c r="J99">
        <f t="shared" si="2"/>
        <v>0</v>
      </c>
      <c r="L99">
        <f t="shared" si="3"/>
        <v>0</v>
      </c>
    </row>
    <row r="100" spans="2:12" x14ac:dyDescent="0.25">
      <c r="B100" t="s">
        <v>15</v>
      </c>
      <c r="C100" t="s">
        <v>96</v>
      </c>
      <c r="D100" t="s">
        <v>33</v>
      </c>
      <c r="J100">
        <f t="shared" si="2"/>
        <v>0</v>
      </c>
      <c r="L100">
        <f t="shared" si="3"/>
        <v>0</v>
      </c>
    </row>
    <row r="101" spans="2:12" x14ac:dyDescent="0.25">
      <c r="B101" t="s">
        <v>89</v>
      </c>
      <c r="C101" t="s">
        <v>96</v>
      </c>
      <c r="D101" t="s">
        <v>33</v>
      </c>
      <c r="J101">
        <f t="shared" si="2"/>
        <v>0</v>
      </c>
      <c r="L101">
        <f t="shared" si="3"/>
        <v>0</v>
      </c>
    </row>
    <row r="102" spans="2:12" x14ac:dyDescent="0.25">
      <c r="B102" t="s">
        <v>40</v>
      </c>
      <c r="C102" t="s">
        <v>96</v>
      </c>
      <c r="D102" t="s">
        <v>33</v>
      </c>
      <c r="J102">
        <f t="shared" si="2"/>
        <v>0</v>
      </c>
      <c r="L102">
        <f t="shared" si="3"/>
        <v>0</v>
      </c>
    </row>
    <row r="103" spans="2:12" x14ac:dyDescent="0.25">
      <c r="B103" t="s">
        <v>80</v>
      </c>
      <c r="C103" t="s">
        <v>96</v>
      </c>
      <c r="D103" t="s">
        <v>33</v>
      </c>
      <c r="J103">
        <f t="shared" si="2"/>
        <v>0</v>
      </c>
      <c r="L103">
        <f t="shared" si="3"/>
        <v>0</v>
      </c>
    </row>
    <row r="104" spans="2:12" x14ac:dyDescent="0.25">
      <c r="B104" t="s">
        <v>45</v>
      </c>
      <c r="C104" t="s">
        <v>96</v>
      </c>
      <c r="D104" t="s">
        <v>33</v>
      </c>
      <c r="J104">
        <f t="shared" si="2"/>
        <v>0</v>
      </c>
      <c r="L104">
        <f t="shared" si="3"/>
        <v>0</v>
      </c>
    </row>
    <row r="105" spans="2:12" x14ac:dyDescent="0.25">
      <c r="B105" t="s">
        <v>16</v>
      </c>
      <c r="C105" t="s">
        <v>96</v>
      </c>
      <c r="D105" t="s">
        <v>33</v>
      </c>
      <c r="J105">
        <f t="shared" si="2"/>
        <v>0</v>
      </c>
      <c r="L105">
        <f t="shared" si="3"/>
        <v>0</v>
      </c>
    </row>
    <row r="106" spans="2:12" x14ac:dyDescent="0.25">
      <c r="B106" t="s">
        <v>17</v>
      </c>
      <c r="C106" t="s">
        <v>96</v>
      </c>
      <c r="D106" t="s">
        <v>33</v>
      </c>
      <c r="J106">
        <f t="shared" si="2"/>
        <v>0</v>
      </c>
      <c r="L106">
        <f t="shared" si="3"/>
        <v>0</v>
      </c>
    </row>
    <row r="107" spans="2:12" x14ac:dyDescent="0.25">
      <c r="B107" t="s">
        <v>18</v>
      </c>
      <c r="C107" t="s">
        <v>96</v>
      </c>
      <c r="D107" t="s">
        <v>33</v>
      </c>
      <c r="J107">
        <f t="shared" si="2"/>
        <v>0</v>
      </c>
      <c r="L107">
        <f t="shared" si="3"/>
        <v>0</v>
      </c>
    </row>
    <row r="108" spans="2:12" x14ac:dyDescent="0.25">
      <c r="B108" t="s">
        <v>24</v>
      </c>
      <c r="C108" t="s">
        <v>96</v>
      </c>
      <c r="D108" t="s">
        <v>33</v>
      </c>
      <c r="J108">
        <f t="shared" si="2"/>
        <v>0</v>
      </c>
      <c r="L108">
        <f t="shared" si="3"/>
        <v>0</v>
      </c>
    </row>
    <row r="109" spans="2:12" x14ac:dyDescent="0.25">
      <c r="B109" t="s">
        <v>81</v>
      </c>
      <c r="C109" t="s">
        <v>96</v>
      </c>
      <c r="D109" t="s">
        <v>33</v>
      </c>
      <c r="J109">
        <f t="shared" si="2"/>
        <v>0</v>
      </c>
      <c r="L109">
        <f t="shared" si="3"/>
        <v>0</v>
      </c>
    </row>
    <row r="110" spans="2:12" x14ac:dyDescent="0.25">
      <c r="B110" t="s">
        <v>19</v>
      </c>
      <c r="C110" t="s">
        <v>96</v>
      </c>
      <c r="D110" t="s">
        <v>33</v>
      </c>
      <c r="J110">
        <f t="shared" si="2"/>
        <v>0</v>
      </c>
      <c r="L110">
        <f t="shared" si="3"/>
        <v>0</v>
      </c>
    </row>
    <row r="111" spans="2:12" x14ac:dyDescent="0.25">
      <c r="B111" t="s">
        <v>43</v>
      </c>
      <c r="C111" t="s">
        <v>96</v>
      </c>
      <c r="D111" t="s">
        <v>33</v>
      </c>
      <c r="J111">
        <f t="shared" si="2"/>
        <v>0</v>
      </c>
      <c r="L111">
        <f t="shared" si="3"/>
        <v>0</v>
      </c>
    </row>
    <row r="112" spans="2:12" x14ac:dyDescent="0.25">
      <c r="B112" t="s">
        <v>82</v>
      </c>
      <c r="C112" t="s">
        <v>96</v>
      </c>
      <c r="D112" t="s">
        <v>33</v>
      </c>
      <c r="J112">
        <f t="shared" si="2"/>
        <v>0</v>
      </c>
      <c r="L112">
        <f t="shared" si="3"/>
        <v>0</v>
      </c>
    </row>
    <row r="113" spans="2:12" x14ac:dyDescent="0.25">
      <c r="B113" t="s">
        <v>52</v>
      </c>
      <c r="C113" t="s">
        <v>96</v>
      </c>
      <c r="D113" t="s">
        <v>33</v>
      </c>
      <c r="J113">
        <f t="shared" si="2"/>
        <v>0</v>
      </c>
      <c r="L113">
        <f t="shared" si="3"/>
        <v>0</v>
      </c>
    </row>
    <row r="114" spans="2:12" x14ac:dyDescent="0.25">
      <c r="B114" t="s">
        <v>91</v>
      </c>
      <c r="C114" t="s">
        <v>96</v>
      </c>
      <c r="D114" t="s">
        <v>33</v>
      </c>
      <c r="J114">
        <f t="shared" si="2"/>
        <v>0</v>
      </c>
      <c r="L114">
        <f t="shared" si="3"/>
        <v>0</v>
      </c>
    </row>
    <row r="115" spans="2:12" x14ac:dyDescent="0.25">
      <c r="B115" t="s">
        <v>20</v>
      </c>
      <c r="C115" t="s">
        <v>96</v>
      </c>
      <c r="D115" t="s">
        <v>33</v>
      </c>
      <c r="J115">
        <f t="shared" si="2"/>
        <v>0</v>
      </c>
      <c r="L115">
        <f t="shared" si="3"/>
        <v>0</v>
      </c>
    </row>
    <row r="116" spans="2:12" x14ac:dyDescent="0.25">
      <c r="B116" t="s">
        <v>21</v>
      </c>
      <c r="C116" t="s">
        <v>96</v>
      </c>
      <c r="D116" t="s">
        <v>33</v>
      </c>
      <c r="J116">
        <f t="shared" si="2"/>
        <v>0</v>
      </c>
      <c r="L116">
        <f t="shared" si="3"/>
        <v>0</v>
      </c>
    </row>
    <row r="117" spans="2:12" x14ac:dyDescent="0.25">
      <c r="B117" t="s">
        <v>22</v>
      </c>
      <c r="C117" t="s">
        <v>96</v>
      </c>
      <c r="D117" t="s">
        <v>33</v>
      </c>
      <c r="J117">
        <f t="shared" si="2"/>
        <v>0</v>
      </c>
      <c r="L117">
        <f t="shared" si="3"/>
        <v>0</v>
      </c>
    </row>
    <row r="118" spans="2:12" x14ac:dyDescent="0.25">
      <c r="B118" t="s">
        <v>59</v>
      </c>
      <c r="C118" t="s">
        <v>96</v>
      </c>
      <c r="D118" t="s">
        <v>33</v>
      </c>
      <c r="J118">
        <f t="shared" si="2"/>
        <v>0</v>
      </c>
      <c r="L118">
        <f t="shared" si="3"/>
        <v>0</v>
      </c>
    </row>
    <row r="119" spans="2:12" x14ac:dyDescent="0.25">
      <c r="B119" t="s">
        <v>88</v>
      </c>
      <c r="C119" t="s">
        <v>96</v>
      </c>
      <c r="D119" t="s">
        <v>33</v>
      </c>
      <c r="J119">
        <f t="shared" si="2"/>
        <v>0</v>
      </c>
      <c r="L119">
        <f t="shared" si="3"/>
        <v>0</v>
      </c>
    </row>
    <row r="120" spans="2:12" x14ac:dyDescent="0.25">
      <c r="B120" t="s">
        <v>94</v>
      </c>
      <c r="C120" t="s">
        <v>96</v>
      </c>
      <c r="D120" t="s">
        <v>33</v>
      </c>
      <c r="J120">
        <f t="shared" si="2"/>
        <v>0</v>
      </c>
      <c r="L120">
        <f t="shared" si="3"/>
        <v>0</v>
      </c>
    </row>
    <row r="121" spans="2:12" x14ac:dyDescent="0.25">
      <c r="B121" t="s">
        <v>84</v>
      </c>
      <c r="C121" t="s">
        <v>96</v>
      </c>
      <c r="D121" t="s">
        <v>33</v>
      </c>
      <c r="J121">
        <f t="shared" si="2"/>
        <v>0</v>
      </c>
      <c r="L121">
        <f t="shared" si="3"/>
        <v>0</v>
      </c>
    </row>
    <row r="122" spans="2:12" x14ac:dyDescent="0.25">
      <c r="B122" t="s">
        <v>60</v>
      </c>
      <c r="C122" t="s">
        <v>96</v>
      </c>
      <c r="D122" t="s">
        <v>33</v>
      </c>
      <c r="J122">
        <f t="shared" si="2"/>
        <v>0</v>
      </c>
      <c r="L122">
        <f t="shared" si="3"/>
        <v>0</v>
      </c>
    </row>
    <row r="123" spans="2:12" x14ac:dyDescent="0.25">
      <c r="B123" t="s">
        <v>85</v>
      </c>
      <c r="C123" t="s">
        <v>96</v>
      </c>
      <c r="D123" t="s">
        <v>33</v>
      </c>
      <c r="J123">
        <f t="shared" si="2"/>
        <v>0</v>
      </c>
      <c r="L123">
        <f t="shared" si="3"/>
        <v>0</v>
      </c>
    </row>
    <row r="124" spans="2:12" x14ac:dyDescent="0.25">
      <c r="B124" t="s">
        <v>61</v>
      </c>
      <c r="C124" t="s">
        <v>96</v>
      </c>
      <c r="D124" t="s">
        <v>33</v>
      </c>
      <c r="J124">
        <f t="shared" si="2"/>
        <v>0</v>
      </c>
      <c r="L124">
        <f t="shared" si="3"/>
        <v>0</v>
      </c>
    </row>
    <row r="125" spans="2:12" x14ac:dyDescent="0.25">
      <c r="B125" t="s">
        <v>86</v>
      </c>
      <c r="C125" t="s">
        <v>96</v>
      </c>
      <c r="D125" t="s">
        <v>33</v>
      </c>
      <c r="J125">
        <f t="shared" si="2"/>
        <v>0</v>
      </c>
      <c r="L125">
        <f t="shared" si="3"/>
        <v>0</v>
      </c>
    </row>
    <row r="126" spans="2:12" x14ac:dyDescent="0.25">
      <c r="B126" t="s">
        <v>68</v>
      </c>
      <c r="C126" t="s">
        <v>96</v>
      </c>
      <c r="D126" t="s">
        <v>33</v>
      </c>
      <c r="J126">
        <f t="shared" si="2"/>
        <v>0</v>
      </c>
      <c r="L126">
        <f t="shared" si="3"/>
        <v>0</v>
      </c>
    </row>
    <row r="127" spans="2:12" x14ac:dyDescent="0.25">
      <c r="B127" t="s">
        <v>62</v>
      </c>
      <c r="C127" t="s">
        <v>96</v>
      </c>
      <c r="D127" t="s">
        <v>33</v>
      </c>
      <c r="J127">
        <f t="shared" si="2"/>
        <v>0</v>
      </c>
      <c r="L127">
        <f t="shared" si="3"/>
        <v>0</v>
      </c>
    </row>
    <row r="128" spans="2:12" x14ac:dyDescent="0.25">
      <c r="B128" t="s">
        <v>63</v>
      </c>
      <c r="C128" t="s">
        <v>96</v>
      </c>
      <c r="D128" t="s">
        <v>33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2025-05-01T17:53:15Z</dcterms:modified>
</cp:coreProperties>
</file>