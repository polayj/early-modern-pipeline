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92" documentId="8_{9B60F96A-17B0-4F36-B426-5E351BFBE52B}" xr6:coauthVersionLast="47" xr6:coauthVersionMax="47" xr10:uidLastSave="{2574919B-D708-4842-BDAC-F93A1A338086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6" l="1"/>
  <c r="J61" i="6"/>
  <c r="L62" i="2"/>
  <c r="J62" i="2"/>
  <c r="L59" i="2"/>
  <c r="J59" i="2"/>
  <c r="J41" i="2"/>
  <c r="L41" i="2" s="1"/>
  <c r="L11" i="4"/>
  <c r="J11" i="4"/>
  <c r="J10" i="4"/>
  <c r="L10" i="4" s="1"/>
  <c r="J22" i="3"/>
  <c r="L22" i="3" s="1"/>
  <c r="L17" i="2"/>
  <c r="L33" i="2"/>
  <c r="L36" i="2"/>
  <c r="L37" i="2"/>
  <c r="L38" i="2"/>
  <c r="L39" i="2"/>
  <c r="L40" i="2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J34" i="2"/>
  <c r="L34" i="2" s="1"/>
  <c r="J35" i="2"/>
  <c r="L35" i="2" s="1"/>
  <c r="J36" i="2"/>
  <c r="J37" i="2"/>
  <c r="J38" i="2"/>
  <c r="J39" i="2"/>
  <c r="J40" i="2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60" i="2"/>
  <c r="L60" i="2" s="1"/>
  <c r="J61" i="2"/>
  <c r="L61" i="2" s="1"/>
  <c r="L3" i="3"/>
  <c r="L8" i="3"/>
  <c r="L9" i="3"/>
  <c r="L11" i="3"/>
  <c r="L12" i="3"/>
  <c r="L20" i="3"/>
  <c r="L30" i="3"/>
  <c r="L36" i="3"/>
  <c r="L38" i="3"/>
  <c r="L54" i="3"/>
  <c r="L61" i="3"/>
  <c r="L62" i="3"/>
  <c r="L68" i="3"/>
  <c r="L70" i="3"/>
  <c r="L78" i="3"/>
  <c r="L84" i="3"/>
  <c r="L86" i="3"/>
  <c r="L93" i="3"/>
  <c r="L94" i="3"/>
  <c r="J3" i="3"/>
  <c r="J4" i="3"/>
  <c r="L4" i="3" s="1"/>
  <c r="J5" i="3"/>
  <c r="L5" i="3" s="1"/>
  <c r="J6" i="3"/>
  <c r="L6" i="3" s="1"/>
  <c r="J7" i="3"/>
  <c r="L7" i="3" s="1"/>
  <c r="J8" i="3"/>
  <c r="J9" i="3"/>
  <c r="J10" i="3"/>
  <c r="L10" i="3" s="1"/>
  <c r="J11" i="3"/>
  <c r="J12" i="3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J31" i="3"/>
  <c r="L31" i="3" s="1"/>
  <c r="J32" i="3"/>
  <c r="L32" i="3" s="1"/>
  <c r="J33" i="3"/>
  <c r="L33" i="3" s="1"/>
  <c r="J34" i="3"/>
  <c r="L34" i="3" s="1"/>
  <c r="J35" i="3"/>
  <c r="L35" i="3" s="1"/>
  <c r="J36" i="3"/>
  <c r="J37" i="3"/>
  <c r="L37" i="3" s="1"/>
  <c r="J38" i="3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J62" i="3"/>
  <c r="J63" i="3"/>
  <c r="L63" i="3" s="1"/>
  <c r="J64" i="3"/>
  <c r="L64" i="3" s="1"/>
  <c r="J65" i="3"/>
  <c r="L65" i="3" s="1"/>
  <c r="J66" i="3"/>
  <c r="L66" i="3" s="1"/>
  <c r="J67" i="3"/>
  <c r="L67" i="3" s="1"/>
  <c r="J68" i="3"/>
  <c r="J69" i="3"/>
  <c r="L69" i="3" s="1"/>
  <c r="J70" i="3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J79" i="3"/>
  <c r="L79" i="3" s="1"/>
  <c r="J80" i="3"/>
  <c r="L80" i="3" s="1"/>
  <c r="J81" i="3"/>
  <c r="L81" i="3" s="1"/>
  <c r="J82" i="3"/>
  <c r="L82" i="3" s="1"/>
  <c r="J83" i="3"/>
  <c r="L83" i="3" s="1"/>
  <c r="J84" i="3"/>
  <c r="J85" i="3"/>
  <c r="L85" i="3" s="1"/>
  <c r="J86" i="3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J94" i="3"/>
  <c r="J95" i="3"/>
  <c r="L95" i="3" s="1"/>
  <c r="J96" i="3"/>
  <c r="L96" i="3" s="1"/>
  <c r="J97" i="3"/>
  <c r="L97" i="3" s="1"/>
  <c r="J98" i="3"/>
  <c r="L98" i="3" s="1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2" i="4"/>
  <c r="L12" i="4" s="1"/>
  <c r="J13" i="4"/>
  <c r="L13" i="4" s="1"/>
  <c r="J14" i="4"/>
  <c r="L14" i="4" s="1"/>
  <c r="J15" i="4"/>
  <c r="L15" i="4" s="1"/>
  <c r="J16" i="4"/>
  <c r="L16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L3" i="5"/>
  <c r="L4" i="5"/>
  <c r="L5" i="5"/>
  <c r="L6" i="5"/>
  <c r="L7" i="5"/>
  <c r="L8" i="5"/>
  <c r="L9" i="5"/>
  <c r="L10" i="5"/>
  <c r="L11" i="5"/>
  <c r="L12" i="5"/>
  <c r="L18" i="5"/>
  <c r="L19" i="5"/>
  <c r="L20" i="5"/>
  <c r="L21" i="5"/>
  <c r="L25" i="5"/>
  <c r="L26" i="5"/>
  <c r="L27" i="5"/>
  <c r="L28" i="5"/>
  <c r="L29" i="5"/>
  <c r="L30" i="5"/>
  <c r="L32" i="5"/>
  <c r="L35" i="5"/>
  <c r="L37" i="5"/>
  <c r="L38" i="5"/>
  <c r="L39" i="5"/>
  <c r="L40" i="5"/>
  <c r="L44" i="5"/>
  <c r="L45" i="5"/>
  <c r="L46" i="5"/>
  <c r="L48" i="5"/>
  <c r="L49" i="5"/>
  <c r="L52" i="5"/>
  <c r="L53" i="5"/>
  <c r="L56" i="5"/>
  <c r="L58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5" i="5"/>
  <c r="L76" i="5"/>
  <c r="L77" i="5"/>
  <c r="L79" i="5"/>
  <c r="L80" i="5"/>
  <c r="L82" i="5"/>
  <c r="L84" i="5"/>
  <c r="L86" i="5"/>
  <c r="L89" i="5"/>
  <c r="L90" i="5"/>
  <c r="L92" i="5"/>
  <c r="L93" i="5"/>
  <c r="L95" i="5"/>
  <c r="L96" i="5"/>
  <c r="L99" i="5"/>
  <c r="L100" i="5"/>
  <c r="L101" i="5"/>
  <c r="L102" i="5"/>
  <c r="L104" i="5"/>
  <c r="L106" i="5"/>
  <c r="L107" i="5"/>
  <c r="L109" i="5"/>
  <c r="L110" i="5"/>
  <c r="L113" i="5"/>
  <c r="L114" i="5"/>
  <c r="L115" i="5"/>
  <c r="L117" i="5"/>
  <c r="L118" i="5"/>
  <c r="L119" i="5"/>
  <c r="L121" i="5"/>
  <c r="L123" i="5"/>
  <c r="L125" i="5"/>
  <c r="L126" i="5"/>
  <c r="J3" i="5"/>
  <c r="J4" i="5"/>
  <c r="J5" i="5"/>
  <c r="J6" i="5"/>
  <c r="J7" i="5"/>
  <c r="J8" i="5"/>
  <c r="J9" i="5"/>
  <c r="J10" i="5"/>
  <c r="J11" i="5"/>
  <c r="J12" i="5"/>
  <c r="J13" i="5"/>
  <c r="L13" i="5" s="1"/>
  <c r="J14" i="5"/>
  <c r="L14" i="5" s="1"/>
  <c r="J15" i="5"/>
  <c r="L15" i="5" s="1"/>
  <c r="J16" i="5"/>
  <c r="L16" i="5" s="1"/>
  <c r="J17" i="5"/>
  <c r="L17" i="5" s="1"/>
  <c r="J18" i="5"/>
  <c r="J19" i="5"/>
  <c r="J20" i="5"/>
  <c r="J21" i="5"/>
  <c r="J22" i="5"/>
  <c r="L22" i="5" s="1"/>
  <c r="J23" i="5"/>
  <c r="L23" i="5" s="1"/>
  <c r="J24" i="5"/>
  <c r="L24" i="5" s="1"/>
  <c r="J25" i="5"/>
  <c r="J26" i="5"/>
  <c r="J27" i="5"/>
  <c r="J28" i="5"/>
  <c r="J29" i="5"/>
  <c r="J30" i="5"/>
  <c r="J31" i="5"/>
  <c r="L31" i="5" s="1"/>
  <c r="J32" i="5"/>
  <c r="J33" i="5"/>
  <c r="L33" i="5" s="1"/>
  <c r="J34" i="5"/>
  <c r="L34" i="5" s="1"/>
  <c r="J35" i="5"/>
  <c r="J36" i="5"/>
  <c r="L36" i="5" s="1"/>
  <c r="J37" i="5"/>
  <c r="J38" i="5"/>
  <c r="J39" i="5"/>
  <c r="J40" i="5"/>
  <c r="J41" i="5"/>
  <c r="L41" i="5" s="1"/>
  <c r="J42" i="5"/>
  <c r="L42" i="5" s="1"/>
  <c r="J43" i="5"/>
  <c r="L43" i="5" s="1"/>
  <c r="J44" i="5"/>
  <c r="J45" i="5"/>
  <c r="J46" i="5"/>
  <c r="J47" i="5"/>
  <c r="L47" i="5" s="1"/>
  <c r="J48" i="5"/>
  <c r="J49" i="5"/>
  <c r="J50" i="5"/>
  <c r="L50" i="5" s="1"/>
  <c r="J51" i="5"/>
  <c r="L51" i="5" s="1"/>
  <c r="J52" i="5"/>
  <c r="J53" i="5"/>
  <c r="J54" i="5"/>
  <c r="L54" i="5" s="1"/>
  <c r="J55" i="5"/>
  <c r="L55" i="5" s="1"/>
  <c r="J56" i="5"/>
  <c r="J57" i="5"/>
  <c r="L57" i="5" s="1"/>
  <c r="J58" i="5"/>
  <c r="J59" i="5"/>
  <c r="L59" i="5" s="1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L74" i="5" s="1"/>
  <c r="J75" i="5"/>
  <c r="J76" i="5"/>
  <c r="J77" i="5"/>
  <c r="J78" i="5"/>
  <c r="L78" i="5" s="1"/>
  <c r="J79" i="5"/>
  <c r="J80" i="5"/>
  <c r="J81" i="5"/>
  <c r="L81" i="5" s="1"/>
  <c r="J82" i="5"/>
  <c r="J83" i="5"/>
  <c r="L83" i="5" s="1"/>
  <c r="J84" i="5"/>
  <c r="J85" i="5"/>
  <c r="L85" i="5" s="1"/>
  <c r="J86" i="5"/>
  <c r="J87" i="5"/>
  <c r="L87" i="5" s="1"/>
  <c r="J88" i="5"/>
  <c r="L88" i="5" s="1"/>
  <c r="J89" i="5"/>
  <c r="J90" i="5"/>
  <c r="J91" i="5"/>
  <c r="L91" i="5" s="1"/>
  <c r="J92" i="5"/>
  <c r="J93" i="5"/>
  <c r="J94" i="5"/>
  <c r="L94" i="5" s="1"/>
  <c r="J95" i="5"/>
  <c r="J96" i="5"/>
  <c r="J97" i="5"/>
  <c r="L97" i="5" s="1"/>
  <c r="J98" i="5"/>
  <c r="L98" i="5" s="1"/>
  <c r="J99" i="5"/>
  <c r="J100" i="5"/>
  <c r="J101" i="5"/>
  <c r="J102" i="5"/>
  <c r="J103" i="5"/>
  <c r="L103" i="5" s="1"/>
  <c r="J104" i="5"/>
  <c r="J105" i="5"/>
  <c r="L105" i="5" s="1"/>
  <c r="J106" i="5"/>
  <c r="J107" i="5"/>
  <c r="J108" i="5"/>
  <c r="L108" i="5" s="1"/>
  <c r="J109" i="5"/>
  <c r="J110" i="5"/>
  <c r="J111" i="5"/>
  <c r="L111" i="5" s="1"/>
  <c r="J112" i="5"/>
  <c r="L112" i="5" s="1"/>
  <c r="J113" i="5"/>
  <c r="J114" i="5"/>
  <c r="J115" i="5"/>
  <c r="J116" i="5"/>
  <c r="L116" i="5" s="1"/>
  <c r="J117" i="5"/>
  <c r="J118" i="5"/>
  <c r="J119" i="5"/>
  <c r="J120" i="5"/>
  <c r="L120" i="5" s="1"/>
  <c r="J121" i="5"/>
  <c r="J122" i="5"/>
  <c r="L122" i="5" s="1"/>
  <c r="J123" i="5"/>
  <c r="J124" i="5"/>
  <c r="L124" i="5" s="1"/>
  <c r="J125" i="5"/>
  <c r="J126" i="5"/>
  <c r="L3" i="6"/>
  <c r="L4" i="6"/>
  <c r="L12" i="6"/>
  <c r="L13" i="6"/>
  <c r="L14" i="6"/>
  <c r="L16" i="6"/>
  <c r="L27" i="6"/>
  <c r="L28" i="6"/>
  <c r="L29" i="6"/>
  <c r="L30" i="6"/>
  <c r="L31" i="6"/>
  <c r="L32" i="6"/>
  <c r="L34" i="6"/>
  <c r="L35" i="6"/>
  <c r="L36" i="6"/>
  <c r="L43" i="6"/>
  <c r="L44" i="6"/>
  <c r="L45" i="6"/>
  <c r="L46" i="6"/>
  <c r="L49" i="6"/>
  <c r="L50" i="6"/>
  <c r="L51" i="6"/>
  <c r="L52" i="6"/>
  <c r="L53" i="6"/>
  <c r="L66" i="6"/>
  <c r="J3" i="6"/>
  <c r="J4" i="6"/>
  <c r="J5" i="6"/>
  <c r="L5" i="6" s="1"/>
  <c r="J6" i="6"/>
  <c r="L6" i="6" s="1"/>
  <c r="J7" i="6"/>
  <c r="L7" i="6" s="1"/>
  <c r="J8" i="6"/>
  <c r="L8" i="6" s="1"/>
  <c r="J9" i="6"/>
  <c r="L9" i="6" s="1"/>
  <c r="J10" i="6"/>
  <c r="L10" i="6" s="1"/>
  <c r="J11" i="6"/>
  <c r="L11" i="6" s="1"/>
  <c r="J12" i="6"/>
  <c r="J13" i="6"/>
  <c r="J14" i="6"/>
  <c r="J15" i="6"/>
  <c r="L15" i="6" s="1"/>
  <c r="J16" i="6"/>
  <c r="J17" i="6"/>
  <c r="L17" i="6" s="1"/>
  <c r="J18" i="6"/>
  <c r="L18" i="6" s="1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J28" i="6"/>
  <c r="J29" i="6"/>
  <c r="J30" i="6"/>
  <c r="J31" i="6"/>
  <c r="J32" i="6"/>
  <c r="J33" i="6"/>
  <c r="L33" i="6" s="1"/>
  <c r="J34" i="6"/>
  <c r="J35" i="6"/>
  <c r="J36" i="6"/>
  <c r="J37" i="6"/>
  <c r="L37" i="6" s="1"/>
  <c r="J38" i="6"/>
  <c r="L38" i="6" s="1"/>
  <c r="J39" i="6"/>
  <c r="L39" i="6" s="1"/>
  <c r="J40" i="6"/>
  <c r="L40" i="6" s="1"/>
  <c r="J41" i="6"/>
  <c r="L41" i="6" s="1"/>
  <c r="J42" i="6"/>
  <c r="L42" i="6" s="1"/>
  <c r="J43" i="6"/>
  <c r="J44" i="6"/>
  <c r="J45" i="6"/>
  <c r="J46" i="6"/>
  <c r="J47" i="6"/>
  <c r="L47" i="6" s="1"/>
  <c r="J48" i="6"/>
  <c r="L48" i="6" s="1"/>
  <c r="J49" i="6"/>
  <c r="J50" i="6"/>
  <c r="J51" i="6"/>
  <c r="J52" i="6"/>
  <c r="J53" i="6"/>
  <c r="J54" i="6"/>
  <c r="L54" i="6" s="1"/>
  <c r="J55" i="6"/>
  <c r="L55" i="6" s="1"/>
  <c r="J56" i="6"/>
  <c r="L56" i="6" s="1"/>
  <c r="J57" i="6"/>
  <c r="L57" i="6" s="1"/>
  <c r="J58" i="6"/>
  <c r="L58" i="6" s="1"/>
  <c r="J59" i="6"/>
  <c r="L59" i="6" s="1"/>
  <c r="J60" i="6"/>
  <c r="L60" i="6" s="1"/>
  <c r="J62" i="6"/>
  <c r="L62" i="6" s="1"/>
  <c r="J63" i="6"/>
  <c r="L63" i="6" s="1"/>
  <c r="J64" i="6"/>
  <c r="L64" i="6" s="1"/>
  <c r="J65" i="6"/>
  <c r="L65" i="6" s="1"/>
  <c r="J66" i="6"/>
  <c r="J67" i="6"/>
  <c r="L67" i="6" s="1"/>
  <c r="J68" i="6"/>
  <c r="L68" i="6" s="1"/>
  <c r="J69" i="6"/>
  <c r="L69" i="6" s="1"/>
  <c r="L3" i="7"/>
  <c r="L4" i="7"/>
  <c r="L5" i="7"/>
  <c r="L6" i="7"/>
  <c r="L7" i="7"/>
  <c r="L8" i="7"/>
  <c r="L9" i="7"/>
  <c r="L10" i="7"/>
  <c r="L12" i="7"/>
  <c r="L13" i="7"/>
  <c r="L14" i="7"/>
  <c r="L15" i="7"/>
  <c r="L16" i="7"/>
  <c r="L17" i="7"/>
  <c r="L19" i="7"/>
  <c r="L21" i="7"/>
  <c r="L22" i="7"/>
  <c r="L24" i="7"/>
  <c r="L26" i="7"/>
  <c r="L27" i="7"/>
  <c r="L28" i="7"/>
  <c r="L29" i="7"/>
  <c r="L30" i="7"/>
  <c r="L31" i="7"/>
  <c r="L32" i="7"/>
  <c r="L33" i="7"/>
  <c r="L34" i="7"/>
  <c r="L35" i="7"/>
  <c r="L37" i="7"/>
  <c r="L39" i="7"/>
  <c r="L40" i="7"/>
  <c r="L42" i="7"/>
  <c r="L44" i="7"/>
  <c r="L45" i="7"/>
  <c r="L46" i="7"/>
  <c r="L47" i="7"/>
  <c r="L48" i="7"/>
  <c r="L49" i="7"/>
  <c r="L51" i="7"/>
  <c r="L52" i="7"/>
  <c r="L54" i="7"/>
  <c r="L55" i="7"/>
  <c r="L58" i="7"/>
  <c r="L59" i="7"/>
  <c r="L60" i="7"/>
  <c r="L61" i="7"/>
  <c r="L62" i="7"/>
  <c r="L64" i="7"/>
  <c r="L65" i="7"/>
  <c r="L66" i="7"/>
  <c r="L67" i="7"/>
  <c r="L68" i="7"/>
  <c r="J3" i="7"/>
  <c r="J4" i="7"/>
  <c r="J5" i="7"/>
  <c r="J6" i="7"/>
  <c r="J7" i="7"/>
  <c r="J8" i="7"/>
  <c r="J9" i="7"/>
  <c r="J10" i="7"/>
  <c r="J11" i="7"/>
  <c r="L11" i="7" s="1"/>
  <c r="J12" i="7"/>
  <c r="J13" i="7"/>
  <c r="J14" i="7"/>
  <c r="J15" i="7"/>
  <c r="J16" i="7"/>
  <c r="J17" i="7"/>
  <c r="J18" i="7"/>
  <c r="L18" i="7" s="1"/>
  <c r="J19" i="7"/>
  <c r="J20" i="7"/>
  <c r="L20" i="7" s="1"/>
  <c r="J21" i="7"/>
  <c r="J22" i="7"/>
  <c r="J23" i="7"/>
  <c r="L23" i="7" s="1"/>
  <c r="J24" i="7"/>
  <c r="J25" i="7"/>
  <c r="L25" i="7" s="1"/>
  <c r="J26" i="7"/>
  <c r="J27" i="7"/>
  <c r="J28" i="7"/>
  <c r="J29" i="7"/>
  <c r="J30" i="7"/>
  <c r="J31" i="7"/>
  <c r="J32" i="7"/>
  <c r="J33" i="7"/>
  <c r="J34" i="7"/>
  <c r="J35" i="7"/>
  <c r="J36" i="7"/>
  <c r="L36" i="7" s="1"/>
  <c r="J37" i="7"/>
  <c r="J38" i="7"/>
  <c r="L38" i="7" s="1"/>
  <c r="J39" i="7"/>
  <c r="J40" i="7"/>
  <c r="J41" i="7"/>
  <c r="L41" i="7" s="1"/>
  <c r="J42" i="7"/>
  <c r="J43" i="7"/>
  <c r="L43" i="7" s="1"/>
  <c r="J44" i="7"/>
  <c r="J45" i="7"/>
  <c r="J46" i="7"/>
  <c r="J47" i="7"/>
  <c r="J48" i="7"/>
  <c r="J49" i="7"/>
  <c r="J50" i="7"/>
  <c r="L50" i="7" s="1"/>
  <c r="J51" i="7"/>
  <c r="J52" i="7"/>
  <c r="J53" i="7"/>
  <c r="L53" i="7" s="1"/>
  <c r="J54" i="7"/>
  <c r="J55" i="7"/>
  <c r="J56" i="7"/>
  <c r="L56" i="7" s="1"/>
  <c r="J57" i="7"/>
  <c r="L57" i="7" s="1"/>
  <c r="J58" i="7"/>
  <c r="J59" i="7"/>
  <c r="J60" i="7"/>
  <c r="J61" i="7"/>
  <c r="J62" i="7"/>
  <c r="J63" i="7"/>
  <c r="L63" i="7" s="1"/>
  <c r="J64" i="7"/>
  <c r="J65" i="7"/>
  <c r="J66" i="7"/>
  <c r="J67" i="7"/>
  <c r="J68" i="7"/>
  <c r="L3" i="8"/>
  <c r="L4" i="8"/>
  <c r="L5" i="8"/>
  <c r="L6" i="8"/>
  <c r="L7" i="8"/>
  <c r="L8" i="8"/>
  <c r="L9" i="8"/>
  <c r="L10" i="8"/>
  <c r="L12" i="8"/>
  <c r="L13" i="8"/>
  <c r="L14" i="8"/>
  <c r="L15" i="8"/>
  <c r="L16" i="8"/>
  <c r="L17" i="8"/>
  <c r="L18" i="8"/>
  <c r="L22" i="8"/>
  <c r="L23" i="8"/>
  <c r="L24" i="8"/>
  <c r="L25" i="8"/>
  <c r="L27" i="8"/>
  <c r="L28" i="8"/>
  <c r="L30" i="8"/>
  <c r="L31" i="8"/>
  <c r="L32" i="8"/>
  <c r="L33" i="8"/>
  <c r="L34" i="8"/>
  <c r="L37" i="8"/>
  <c r="L39" i="8"/>
  <c r="L41" i="8"/>
  <c r="L42" i="8"/>
  <c r="L43" i="8"/>
  <c r="L44" i="8"/>
  <c r="L46" i="8"/>
  <c r="L47" i="8"/>
  <c r="L48" i="8"/>
  <c r="L49" i="8"/>
  <c r="L50" i="8"/>
  <c r="L51" i="8"/>
  <c r="L52" i="8"/>
  <c r="L53" i="8"/>
  <c r="L55" i="8"/>
  <c r="L57" i="8"/>
  <c r="L58" i="8"/>
  <c r="L59" i="8"/>
  <c r="L60" i="8"/>
  <c r="L62" i="8"/>
  <c r="L63" i="8"/>
  <c r="L64" i="8"/>
  <c r="L65" i="8"/>
  <c r="L66" i="8"/>
  <c r="L67" i="8"/>
  <c r="L68" i="8"/>
  <c r="L69" i="8"/>
  <c r="L70" i="8"/>
  <c r="J3" i="8"/>
  <c r="J4" i="8"/>
  <c r="J5" i="8"/>
  <c r="J6" i="8"/>
  <c r="J7" i="8"/>
  <c r="J8" i="8"/>
  <c r="J9" i="8"/>
  <c r="J10" i="8"/>
  <c r="J11" i="8"/>
  <c r="L11" i="8" s="1"/>
  <c r="J12" i="8"/>
  <c r="J13" i="8"/>
  <c r="J14" i="8"/>
  <c r="J15" i="8"/>
  <c r="J16" i="8"/>
  <c r="J17" i="8"/>
  <c r="J18" i="8"/>
  <c r="J19" i="8"/>
  <c r="L19" i="8" s="1"/>
  <c r="J20" i="8"/>
  <c r="L20" i="8" s="1"/>
  <c r="J21" i="8"/>
  <c r="L21" i="8" s="1"/>
  <c r="J22" i="8"/>
  <c r="J23" i="8"/>
  <c r="J24" i="8"/>
  <c r="J25" i="8"/>
  <c r="J26" i="8"/>
  <c r="L26" i="8" s="1"/>
  <c r="J27" i="8"/>
  <c r="J28" i="8"/>
  <c r="J29" i="8"/>
  <c r="L29" i="8" s="1"/>
  <c r="J30" i="8"/>
  <c r="J31" i="8"/>
  <c r="J32" i="8"/>
  <c r="J33" i="8"/>
  <c r="J34" i="8"/>
  <c r="J35" i="8"/>
  <c r="L35" i="8" s="1"/>
  <c r="J36" i="8"/>
  <c r="L36" i="8" s="1"/>
  <c r="J37" i="8"/>
  <c r="J38" i="8"/>
  <c r="L38" i="8" s="1"/>
  <c r="J39" i="8"/>
  <c r="J40" i="8"/>
  <c r="L40" i="8" s="1"/>
  <c r="J41" i="8"/>
  <c r="J42" i="8"/>
  <c r="J43" i="8"/>
  <c r="J44" i="8"/>
  <c r="J45" i="8"/>
  <c r="L45" i="8" s="1"/>
  <c r="J46" i="8"/>
  <c r="J47" i="8"/>
  <c r="J48" i="8"/>
  <c r="J49" i="8"/>
  <c r="J50" i="8"/>
  <c r="J51" i="8"/>
  <c r="J52" i="8"/>
  <c r="J53" i="8"/>
  <c r="J54" i="8"/>
  <c r="L54" i="8" s="1"/>
  <c r="J55" i="8"/>
  <c r="J56" i="8"/>
  <c r="L56" i="8" s="1"/>
  <c r="J57" i="8"/>
  <c r="J58" i="8"/>
  <c r="J59" i="8"/>
  <c r="J60" i="8"/>
  <c r="J61" i="8"/>
  <c r="L61" i="8" s="1"/>
  <c r="J62" i="8"/>
  <c r="J63" i="8"/>
  <c r="J64" i="8"/>
  <c r="J65" i="8"/>
  <c r="J66" i="8"/>
  <c r="J67" i="8"/>
  <c r="J68" i="8"/>
  <c r="J69" i="8"/>
  <c r="J70" i="8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21" i="1" l="1"/>
  <c r="D19" i="1"/>
  <c r="D20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<sst xmlns="http://schemas.openxmlformats.org/spreadsheetml/2006/main" count="2149" uniqueCount="131">
  <si>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</si>
  <si>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</si>
  <si>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</si>
  <si>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</si>
  <si>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</si>
  <si>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</si>
  <si>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</si>
  <si>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</si>
  <si>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</si>
  <si>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</si>
  <si>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</si>
  <si>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</si>
  <si>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</si>
  <si>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</si>
  <si>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</si>
  <si>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</si>
  <si>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</si>
  <si>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</si>
  <si>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</si>
  <si>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</si>
  <si>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</si>
  <si>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</si>
  <si>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</si>
  <si>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</si>
  <si>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</si>
  <si>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</si>
  <si>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</si>
  <si>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</si>
  <si>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</si>
  <si>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</si>
  <si>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</si>
  <si>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</si>
  <si>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</si>
  <si>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</si>
  <si>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</si>
  <si>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</si>
  <si>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</si>
  <si>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</si>
  <si>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</si>
  <si>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</si>
  <si>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</si>
  <si>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</si>
  <si>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</si>
  <si>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</si>
  <si>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</si>
  <si>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</si>
  <si>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</si>
  <si>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</si>
  <si>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</si>
  <si>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</si>
  <si>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</si>
  <si>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</si>
  <si>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</si>
  <si>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</si>
  <si>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</si>
  <si>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</si>
  <si>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</si>
  <si>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</si>
  <si>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</si>
  <si>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</si>
  <si>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</si>
  <si>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</si>
  <si>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</si>
  <si>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</si>
  <si>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</si>
  <si>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</si>
  <si>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</si>
  <si>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</si>
  <si>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</si>
  <si>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</si>
  <si>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</si>
  <si>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</si>
  <si>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</si>
  <si>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</si>
  <si>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</si>
  <si>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</si>
  <si>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</si>
  <si>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</si>
  <si>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</si>
  <si>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</si>
  <si>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</si>
  <si>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</si>
  <si>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</si>
  <si>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</si>
  <si>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</si>
  <si>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</si>
  <si>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</si>
  <si>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</si>
  <si>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</si>
  <si>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</si>
  <si>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</si>
  <si>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</si>
  <si>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</si>
  <si>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</si>
  <si>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</si>
  <si>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</si>
  <si>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</si>
  <si>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</si>
  <si>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</si>
  <si>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</si>
  <si>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</si>
  <si>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</si>
  <si>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</si>
  <si>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</si>
  <si>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</si>
  <si>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</si>
  <si>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7t 5g</t>
  </si>
  <si>
    <t>1002g</t>
  </si>
  <si>
    <t>20t 2h 29g</t>
  </si>
  <si>
    <t>3261g</t>
  </si>
  <si>
    <t>13848g</t>
  </si>
  <si>
    <t>Jollop</t>
  </si>
  <si>
    <t>4t 1h 31.5g</t>
  </si>
  <si>
    <t>3013g</t>
  </si>
  <si>
    <t>13397g</t>
  </si>
  <si>
    <t>2917g</t>
  </si>
  <si>
    <t>1h 57g</t>
  </si>
  <si>
    <t>122g</t>
  </si>
  <si>
    <t>1t 62g</t>
  </si>
  <si>
    <t>427.5g</t>
  </si>
  <si>
    <t>3h 11g</t>
  </si>
  <si>
    <t>490.5g</t>
  </si>
  <si>
    <t>72g</t>
  </si>
  <si>
    <t>1499g</t>
  </si>
  <si>
    <t>1826.25g</t>
  </si>
  <si>
    <t>1t 3h 3g</t>
  </si>
  <si>
    <t>3328g</t>
  </si>
  <si>
    <t>2453g</t>
  </si>
  <si>
    <t>68g</t>
  </si>
  <si>
    <t>60g</t>
  </si>
  <si>
    <t>368.75g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</si>
</sst>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0.4308035714285714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0.2700892857142857</v>
      </c>
      <c r="D2">
        <f>B2+C2</f>
        <v>0.7008928571428571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1.08125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1.08125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19314.520982142862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8530.1875</v>
      </c>
      <c r="D4">
        <f t="shared" si="0"/>
        <v>27844.708482142862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3.5714285714285713E-3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2.0089285714285716E-2</v>
      </c>
      <c r="D5">
        <f t="shared" si="0"/>
        <v>2.3660714285714288E-2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9.2151785714285701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1.4741071428571428</v>
      </c>
      <c r="D6">
        <f t="shared" si="0"/>
        <v>10.689285714285713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95.770089285714278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245.96562499999999</v>
      </c>
      <c r="D7">
        <f t="shared" si="0"/>
        <v>341.73571428571427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405.77098214285712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118.95044642857144</v>
      </c>
      <c r="D8">
        <f t="shared" si="0"/>
        <v>524.72142857142853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21.370535714285712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24.682142857142857</v>
      </c>
      <c r="D9">
        <f t="shared" si="0"/>
        <v>46.052678571428572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53.97008928571428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53.512946428571425</v>
      </c>
      <c r="D10">
        <f t="shared" si="0"/>
        <v>107.48303571428571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177.83214285714286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55.018303571428568</v>
      </c>
      <c r="D11">
        <f t="shared" si="0"/>
        <v>232.85044642857142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28.016071428571429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21.822544642857142</v>
      </c>
      <c r="D12">
        <f t="shared" si="0"/>
        <v>49.838616071428575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3.0750000000000002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14.819642857142856</v>
      </c>
      <c r="D13">
        <f t="shared" si="0"/>
        <v>17.894642857142856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52.614732142857143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36.91473214285714</v>
      </c>
      <c r="D14">
        <f t="shared" si="0"/>
        <v>89.529464285714283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1.5937500000000002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6.6397321428571434</v>
      </c>
      <c r="D15">
        <f t="shared" si="0"/>
        <v>8.2334821428571434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141.61406249999999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23.08839285714286</v>
      </c>
      <c r="D16">
        <f t="shared" si="0"/>
        <v>164.70245535714284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14.811607142857143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1.859375</v>
      </c>
      <c r="D17">
        <f t="shared" si="0"/>
        <v>16.670982142857142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2.28125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9.0178571428571427E-2</v>
      </c>
      <c r="D18">
        <f t="shared" si="0"/>
        <v>2.3714285714285714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7.4107142857142858E-2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8.4375000000000006E-2</v>
      </c>
      <c r="D19">
        <f t="shared" si="0"/>
        <v>0.15848214285714285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3.1544642857142855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0.53616071428571421</v>
      </c>
      <c r="D20">
        <f t="shared" si="0"/>
        <v>3.6906249999999998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4.8008928571428573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0.25267857142857142</v>
      </c>
      <c r="D21">
        <f t="shared" si="0"/>
        <v>5.0535714285714288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8.3200892857142854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8.3200892857142854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37.958258928571432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3.500892857142857</v>
      </c>
      <c r="D26">
        <f t="shared" si="0"/>
        <v>41.45915178571429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58.815178571428575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37.27276785714286</v>
      </c>
      <c r="D27">
        <f t="shared" si="0"/>
        <v>96.087946428571428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492.50446428571433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646.16919642857147</v>
      </c>
      <c r="D28">
        <f t="shared" si="0"/>
        <v>1138.6736607142857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539.69776785714282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176.46651785714286</v>
      </c>
      <c r="D29">
        <f t="shared" si="0"/>
        <v>716.16428571428571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28.55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30.587946428571431</v>
      </c>
      <c r="D30">
        <f t="shared" si="0"/>
        <v>59.137946428571432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1.5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2"/>
  <sheetViews>
    <sheetView topLeftCell="A37" workbookViewId="0">
      <selection activeCell="H46" sqref="H46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1718</v>
      </c>
      <c r="B2" t="s">
        <v>38</v>
      </c>
      <c r="C2" t="s">
        <v>55</v>
      </c>
      <c r="D2" t="s">
        <v>33</v>
      </c>
      <c r="J2">
        <f t="shared" ref="J2:J62" si="0">(E2*2240)+(F2*112)+(G2*28)+H2</f>
        <v>0</v>
      </c>
      <c r="L2">
        <f t="shared" ref="L2:L62" si="1">J2/2240</f>
        <v>0</v>
      </c>
    </row>
    <row r="3" spans="1:15" x14ac:dyDescent="0.25">
      <c r="A3">
        <v>1718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1718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1718</v>
      </c>
      <c r="B5" t="s">
        <v>6</v>
      </c>
      <c r="C5" t="s">
        <v>55</v>
      </c>
      <c r="D5" t="s">
        <v>33</v>
      </c>
      <c r="F5">
        <v>24324</v>
      </c>
      <c r="G5">
        <v>3</v>
      </c>
      <c r="H5">
        <v>26</v>
      </c>
      <c r="J5">
        <f t="shared" si="0"/>
        <v>2724398</v>
      </c>
      <c r="L5">
        <f t="shared" si="1"/>
        <v>1216.2491071428572</v>
      </c>
    </row>
    <row r="6" spans="1:15" x14ac:dyDescent="0.25">
      <c r="A6">
        <v>1718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1718</v>
      </c>
      <c r="B7" t="s">
        <v>8</v>
      </c>
      <c r="C7" t="s">
        <v>55</v>
      </c>
      <c r="D7" t="s">
        <v>33</v>
      </c>
      <c r="F7">
        <v>47</v>
      </c>
      <c r="H7">
        <v>10</v>
      </c>
      <c r="J7">
        <f t="shared" si="0"/>
        <v>5274</v>
      </c>
      <c r="L7">
        <f t="shared" si="1"/>
        <v>2.3544642857142857</v>
      </c>
    </row>
    <row r="8" spans="1:15" x14ac:dyDescent="0.25">
      <c r="A8">
        <v>1718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1718</v>
      </c>
      <c r="B9" t="s">
        <v>9</v>
      </c>
      <c r="C9" t="s">
        <v>55</v>
      </c>
      <c r="D9" t="s">
        <v>33</v>
      </c>
      <c r="H9">
        <v>63425</v>
      </c>
      <c r="J9">
        <f t="shared" si="0"/>
        <v>63425</v>
      </c>
      <c r="L9">
        <f t="shared" si="1"/>
        <v>28.314732142857142</v>
      </c>
    </row>
    <row r="10" spans="1:15" x14ac:dyDescent="0.25">
      <c r="A10">
        <v>1718</v>
      </c>
      <c r="B10" t="s">
        <v>10</v>
      </c>
      <c r="C10" t="s">
        <v>55</v>
      </c>
      <c r="D10" t="s">
        <v>33</v>
      </c>
      <c r="F10">
        <v>500</v>
      </c>
      <c r="G10">
        <v>1</v>
      </c>
      <c r="H10">
        <v>10</v>
      </c>
      <c r="J10">
        <f t="shared" si="0"/>
        <v>56038</v>
      </c>
      <c r="L10">
        <f t="shared" si="1"/>
        <v>25.016964285714284</v>
      </c>
    </row>
    <row r="11" spans="1:15" x14ac:dyDescent="0.25">
      <c r="A11">
        <v>1718</v>
      </c>
      <c r="B11" t="s">
        <v>11</v>
      </c>
      <c r="C11" t="s">
        <v>55</v>
      </c>
      <c r="D11" t="s">
        <v>33</v>
      </c>
      <c r="F11">
        <v>62</v>
      </c>
      <c r="G11">
        <v>3</v>
      </c>
      <c r="J11">
        <f t="shared" si="0"/>
        <v>7028</v>
      </c>
      <c r="L11">
        <f t="shared" si="1"/>
        <v>3.1375000000000002</v>
      </c>
    </row>
    <row r="12" spans="1:15" x14ac:dyDescent="0.25">
      <c r="A12">
        <v>1718</v>
      </c>
      <c r="B12" t="s">
        <v>41</v>
      </c>
      <c r="C12" t="s">
        <v>55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1718</v>
      </c>
      <c r="B13" t="s">
        <v>12</v>
      </c>
      <c r="C13" t="s">
        <v>55</v>
      </c>
      <c r="D13" t="s">
        <v>33</v>
      </c>
      <c r="H13">
        <v>4234</v>
      </c>
      <c r="J13">
        <f t="shared" si="0"/>
        <v>4234</v>
      </c>
      <c r="L13">
        <f t="shared" si="1"/>
        <v>1.8901785714285715</v>
      </c>
    </row>
    <row r="14" spans="1:15" x14ac:dyDescent="0.25">
      <c r="A14">
        <v>1718</v>
      </c>
      <c r="B14" t="s">
        <v>34</v>
      </c>
      <c r="C14" t="s">
        <v>55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1718</v>
      </c>
      <c r="B15" t="s">
        <v>13</v>
      </c>
      <c r="C15" t="s">
        <v>55</v>
      </c>
      <c r="D15" t="s">
        <v>33</v>
      </c>
      <c r="E15">
        <v>82</v>
      </c>
      <c r="F15">
        <v>14</v>
      </c>
      <c r="G15">
        <v>1</v>
      </c>
      <c r="H15">
        <v>3</v>
      </c>
      <c r="J15">
        <f t="shared" si="0"/>
        <v>185279</v>
      </c>
      <c r="L15">
        <f t="shared" si="1"/>
        <v>82.713839285714286</v>
      </c>
    </row>
    <row r="16" spans="1:15" x14ac:dyDescent="0.25">
      <c r="A16">
        <v>1718</v>
      </c>
      <c r="B16" t="s">
        <v>14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1718</v>
      </c>
      <c r="B17" t="s">
        <v>27</v>
      </c>
      <c r="C17" t="s">
        <v>55</v>
      </c>
      <c r="D17" t="s">
        <v>33</v>
      </c>
      <c r="H17">
        <v>17694.5</v>
      </c>
      <c r="I17" t="s">
        <v>106</v>
      </c>
      <c r="J17">
        <f t="shared" si="0"/>
        <v>17694.5</v>
      </c>
      <c r="L17">
        <f t="shared" si="1"/>
        <v>7.8993303571428575</v>
      </c>
    </row>
    <row r="18" spans="1:12" x14ac:dyDescent="0.25">
      <c r="A18">
        <v>1718</v>
      </c>
      <c r="B18" t="s">
        <v>15</v>
      </c>
      <c r="C18" t="s">
        <v>55</v>
      </c>
      <c r="D18" t="s">
        <v>33</v>
      </c>
      <c r="F18">
        <v>12</v>
      </c>
      <c r="G18">
        <v>2</v>
      </c>
      <c r="J18">
        <f t="shared" si="0"/>
        <v>1400</v>
      </c>
      <c r="L18">
        <f t="shared" si="1"/>
        <v>0.625</v>
      </c>
    </row>
    <row r="19" spans="1:12" x14ac:dyDescent="0.25">
      <c r="A19">
        <v>1718</v>
      </c>
      <c r="B19" t="s">
        <v>49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1718</v>
      </c>
      <c r="B20" t="s">
        <v>17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1718</v>
      </c>
      <c r="B21" t="s">
        <v>18</v>
      </c>
      <c r="C21" t="s">
        <v>55</v>
      </c>
      <c r="D21" t="s">
        <v>33</v>
      </c>
      <c r="H21">
        <v>10022.5</v>
      </c>
      <c r="I21" t="s">
        <v>107</v>
      </c>
      <c r="J21">
        <f t="shared" si="0"/>
        <v>10022.5</v>
      </c>
      <c r="L21">
        <f t="shared" si="1"/>
        <v>4.4743303571428568</v>
      </c>
    </row>
    <row r="22" spans="1:12" x14ac:dyDescent="0.25">
      <c r="A22">
        <v>1718</v>
      </c>
      <c r="B22" t="s">
        <v>19</v>
      </c>
      <c r="C22" t="s">
        <v>55</v>
      </c>
      <c r="D22" t="s">
        <v>33</v>
      </c>
      <c r="F22">
        <v>84</v>
      </c>
      <c r="G22">
        <v>1</v>
      </c>
      <c r="H22">
        <v>13</v>
      </c>
      <c r="J22">
        <f t="shared" si="0"/>
        <v>9449</v>
      </c>
      <c r="L22">
        <f t="shared" si="1"/>
        <v>4.2183035714285717</v>
      </c>
    </row>
    <row r="23" spans="1:12" x14ac:dyDescent="0.25">
      <c r="A23">
        <v>1718</v>
      </c>
      <c r="B23" t="s">
        <v>56</v>
      </c>
      <c r="C23" t="s">
        <v>55</v>
      </c>
      <c r="D23" t="s">
        <v>33</v>
      </c>
      <c r="H23">
        <v>140</v>
      </c>
      <c r="J23">
        <f t="shared" si="0"/>
        <v>140</v>
      </c>
      <c r="L23">
        <f t="shared" si="1"/>
        <v>6.25E-2</v>
      </c>
    </row>
    <row r="24" spans="1:12" x14ac:dyDescent="0.25">
      <c r="A24">
        <v>1718</v>
      </c>
      <c r="B24" t="s">
        <v>102</v>
      </c>
      <c r="C24" t="s">
        <v>55</v>
      </c>
      <c r="D24" t="s">
        <v>33</v>
      </c>
      <c r="H24">
        <v>40</v>
      </c>
      <c r="J24">
        <f t="shared" si="0"/>
        <v>40</v>
      </c>
      <c r="L24">
        <f t="shared" si="1"/>
        <v>1.7857142857142856E-2</v>
      </c>
    </row>
    <row r="25" spans="1:12" x14ac:dyDescent="0.25">
      <c r="A25">
        <v>1718</v>
      </c>
      <c r="B25" t="s">
        <v>20</v>
      </c>
      <c r="C25" t="s">
        <v>55</v>
      </c>
      <c r="D25" t="s">
        <v>33</v>
      </c>
      <c r="H25">
        <v>160</v>
      </c>
      <c r="J25">
        <f t="shared" si="0"/>
        <v>160</v>
      </c>
      <c r="L25">
        <f t="shared" si="1"/>
        <v>7.1428571428571425E-2</v>
      </c>
    </row>
    <row r="26" spans="1:12" x14ac:dyDescent="0.25">
      <c r="A26">
        <v>1718</v>
      </c>
      <c r="B26" t="s">
        <v>21</v>
      </c>
      <c r="C26" t="s">
        <v>55</v>
      </c>
      <c r="D26" t="s">
        <v>33</v>
      </c>
      <c r="H26">
        <v>4</v>
      </c>
      <c r="J26">
        <f t="shared" si="0"/>
        <v>4</v>
      </c>
      <c r="L26">
        <f t="shared" si="1"/>
        <v>1.7857142857142857E-3</v>
      </c>
    </row>
    <row r="27" spans="1:12" x14ac:dyDescent="0.25">
      <c r="A27">
        <v>1718</v>
      </c>
      <c r="B27" t="s">
        <v>94</v>
      </c>
      <c r="C27" t="s">
        <v>55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1718</v>
      </c>
      <c r="B28" t="s">
        <v>22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1718</v>
      </c>
      <c r="B29" t="s">
        <v>64</v>
      </c>
      <c r="C29" t="s">
        <v>55</v>
      </c>
      <c r="D29" t="s">
        <v>33</v>
      </c>
      <c r="E29">
        <v>29</v>
      </c>
      <c r="J29">
        <f t="shared" si="0"/>
        <v>64960</v>
      </c>
      <c r="L29">
        <f t="shared" si="1"/>
        <v>29</v>
      </c>
    </row>
    <row r="30" spans="1:12" x14ac:dyDescent="0.25">
      <c r="A30">
        <v>1718</v>
      </c>
      <c r="B30" t="s">
        <v>93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1718</v>
      </c>
      <c r="B31" t="s">
        <v>66</v>
      </c>
      <c r="C31" t="s">
        <v>55</v>
      </c>
      <c r="D31" t="s">
        <v>33</v>
      </c>
      <c r="E31">
        <v>24</v>
      </c>
      <c r="F31">
        <v>11</v>
      </c>
      <c r="J31">
        <f t="shared" si="0"/>
        <v>54992</v>
      </c>
      <c r="L31">
        <f t="shared" si="1"/>
        <v>24.55</v>
      </c>
    </row>
    <row r="32" spans="1:12" x14ac:dyDescent="0.25">
      <c r="A32">
        <v>1718</v>
      </c>
      <c r="B32" t="s">
        <v>5</v>
      </c>
      <c r="C32" t="s">
        <v>55</v>
      </c>
      <c r="D32" t="s">
        <v>35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6</v>
      </c>
      <c r="C33" t="s">
        <v>55</v>
      </c>
      <c r="D33" t="s">
        <v>35</v>
      </c>
      <c r="F33">
        <v>15271</v>
      </c>
      <c r="G33">
        <v>1</v>
      </c>
      <c r="H33">
        <v>5</v>
      </c>
      <c r="J33">
        <f t="shared" si="0"/>
        <v>1710385</v>
      </c>
      <c r="L33">
        <f t="shared" si="1"/>
        <v>763.56473214285711</v>
      </c>
    </row>
    <row r="34" spans="1:12" x14ac:dyDescent="0.25">
      <c r="A34">
        <v>1718</v>
      </c>
      <c r="B34" t="s">
        <v>37</v>
      </c>
      <c r="C34" t="s">
        <v>55</v>
      </c>
      <c r="D34" t="s">
        <v>35</v>
      </c>
      <c r="J34">
        <f t="shared" si="0"/>
        <v>0</v>
      </c>
      <c r="L34">
        <f t="shared" si="1"/>
        <v>0</v>
      </c>
    </row>
    <row r="35" spans="1:12" x14ac:dyDescent="0.25">
      <c r="A35">
        <v>1718</v>
      </c>
      <c r="B35" t="s">
        <v>8</v>
      </c>
      <c r="C35" t="s">
        <v>55</v>
      </c>
      <c r="D35" t="s">
        <v>35</v>
      </c>
      <c r="F35">
        <v>10</v>
      </c>
      <c r="G35">
        <v>2</v>
      </c>
      <c r="H35">
        <v>5</v>
      </c>
      <c r="J35">
        <f t="shared" si="0"/>
        <v>1181</v>
      </c>
      <c r="L35">
        <f t="shared" si="1"/>
        <v>0.52723214285714282</v>
      </c>
    </row>
    <row r="36" spans="1:12" x14ac:dyDescent="0.25">
      <c r="A36">
        <v>1718</v>
      </c>
      <c r="B36" t="s">
        <v>9</v>
      </c>
      <c r="C36" t="s">
        <v>55</v>
      </c>
      <c r="D36" t="s">
        <v>35</v>
      </c>
      <c r="H36">
        <v>98904</v>
      </c>
      <c r="J36">
        <f t="shared" si="0"/>
        <v>98904</v>
      </c>
      <c r="L36">
        <f t="shared" si="1"/>
        <v>44.153571428571432</v>
      </c>
    </row>
    <row r="37" spans="1:12" x14ac:dyDescent="0.25">
      <c r="A37">
        <v>1718</v>
      </c>
      <c r="B37" t="s">
        <v>10</v>
      </c>
      <c r="C37" t="s">
        <v>55</v>
      </c>
      <c r="D37" t="s">
        <v>35</v>
      </c>
      <c r="F37">
        <v>211</v>
      </c>
      <c r="J37">
        <f t="shared" si="0"/>
        <v>23632</v>
      </c>
      <c r="L37">
        <f t="shared" si="1"/>
        <v>10.55</v>
      </c>
    </row>
    <row r="38" spans="1:12" x14ac:dyDescent="0.25">
      <c r="A38">
        <v>1718</v>
      </c>
      <c r="B38" t="s">
        <v>11</v>
      </c>
      <c r="C38" t="s">
        <v>55</v>
      </c>
      <c r="D38" t="s">
        <v>35</v>
      </c>
      <c r="F38">
        <v>8</v>
      </c>
      <c r="H38">
        <v>23</v>
      </c>
      <c r="J38">
        <f t="shared" si="0"/>
        <v>919</v>
      </c>
      <c r="L38">
        <f t="shared" si="1"/>
        <v>0.41026785714285713</v>
      </c>
    </row>
    <row r="39" spans="1:12" x14ac:dyDescent="0.25">
      <c r="A39">
        <v>1718</v>
      </c>
      <c r="B39" t="s">
        <v>36</v>
      </c>
      <c r="C39" t="s">
        <v>55</v>
      </c>
      <c r="D39" t="s">
        <v>35</v>
      </c>
      <c r="J39">
        <f t="shared" si="0"/>
        <v>0</v>
      </c>
      <c r="L39">
        <f t="shared" si="1"/>
        <v>0</v>
      </c>
    </row>
    <row r="40" spans="1:12" x14ac:dyDescent="0.25">
      <c r="A40">
        <v>1718</v>
      </c>
      <c r="B40" t="s">
        <v>41</v>
      </c>
      <c r="C40" t="s">
        <v>55</v>
      </c>
      <c r="D40" t="s">
        <v>35</v>
      </c>
      <c r="J40">
        <f t="shared" si="0"/>
        <v>0</v>
      </c>
      <c r="L40">
        <f t="shared" si="1"/>
        <v>0</v>
      </c>
    </row>
    <row r="41" spans="1:12" x14ac:dyDescent="0.25">
      <c r="A41">
        <v>1718</v>
      </c>
      <c r="B41" t="s">
        <v>82</v>
      </c>
      <c r="C41" t="s">
        <v>55</v>
      </c>
      <c r="D41" t="s">
        <v>35</v>
      </c>
      <c r="H41">
        <v>3952</v>
      </c>
      <c r="J41">
        <f t="shared" si="0"/>
        <v>3952</v>
      </c>
      <c r="L41">
        <f t="shared" si="1"/>
        <v>1.7642857142857142</v>
      </c>
    </row>
    <row r="42" spans="1:12" x14ac:dyDescent="0.25">
      <c r="A42">
        <v>1718</v>
      </c>
      <c r="B42" t="s">
        <v>12</v>
      </c>
      <c r="C42" t="s">
        <v>55</v>
      </c>
      <c r="D42" t="s">
        <v>35</v>
      </c>
      <c r="H42">
        <v>3982</v>
      </c>
      <c r="J42">
        <f t="shared" si="0"/>
        <v>3982</v>
      </c>
      <c r="L42">
        <f t="shared" si="1"/>
        <v>1.7776785714285714</v>
      </c>
    </row>
    <row r="43" spans="1:12" x14ac:dyDescent="0.25">
      <c r="A43">
        <v>1718</v>
      </c>
      <c r="B43" t="s">
        <v>13</v>
      </c>
      <c r="C43" t="s">
        <v>55</v>
      </c>
      <c r="D43" t="s">
        <v>35</v>
      </c>
      <c r="F43">
        <v>593</v>
      </c>
      <c r="G43">
        <v>1</v>
      </c>
      <c r="H43">
        <v>20</v>
      </c>
      <c r="J43">
        <f t="shared" si="0"/>
        <v>66464</v>
      </c>
      <c r="L43">
        <f t="shared" si="1"/>
        <v>29.671428571428571</v>
      </c>
    </row>
    <row r="44" spans="1:12" x14ac:dyDescent="0.25">
      <c r="A44">
        <v>1718</v>
      </c>
      <c r="B44" t="s">
        <v>14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1718</v>
      </c>
      <c r="B45" t="s">
        <v>27</v>
      </c>
      <c r="C45" t="s">
        <v>55</v>
      </c>
      <c r="D45" t="s">
        <v>35</v>
      </c>
      <c r="H45">
        <v>2000.5</v>
      </c>
      <c r="I45" t="s">
        <v>120</v>
      </c>
      <c r="J45">
        <f t="shared" si="0"/>
        <v>2000.5</v>
      </c>
      <c r="L45">
        <f t="shared" si="1"/>
        <v>0.89308035714285716</v>
      </c>
    </row>
    <row r="46" spans="1:12" x14ac:dyDescent="0.25">
      <c r="A46">
        <v>1718</v>
      </c>
      <c r="B46" t="s">
        <v>15</v>
      </c>
      <c r="C46" t="s">
        <v>55</v>
      </c>
      <c r="D46" t="s">
        <v>35</v>
      </c>
      <c r="F46">
        <v>57</v>
      </c>
      <c r="G46">
        <v>1</v>
      </c>
      <c r="H46">
        <v>22</v>
      </c>
      <c r="J46">
        <f t="shared" si="0"/>
        <v>6434</v>
      </c>
      <c r="L46">
        <f t="shared" si="1"/>
        <v>2.8723214285714285</v>
      </c>
    </row>
    <row r="47" spans="1:12" x14ac:dyDescent="0.25">
      <c r="A47">
        <v>1718</v>
      </c>
      <c r="B47" t="s">
        <v>49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1718</v>
      </c>
      <c r="B48" t="s">
        <v>17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18</v>
      </c>
      <c r="C49" t="s">
        <v>55</v>
      </c>
      <c r="D49" t="s">
        <v>35</v>
      </c>
      <c r="H49">
        <v>4905</v>
      </c>
      <c r="I49" t="s">
        <v>121</v>
      </c>
      <c r="J49">
        <f t="shared" si="0"/>
        <v>4905</v>
      </c>
      <c r="L49">
        <f t="shared" si="1"/>
        <v>2.1897321428571428</v>
      </c>
    </row>
    <row r="50" spans="1:12" x14ac:dyDescent="0.25">
      <c r="A50">
        <v>1718</v>
      </c>
      <c r="B50" t="s">
        <v>19</v>
      </c>
      <c r="C50" t="s">
        <v>55</v>
      </c>
      <c r="D50" t="s">
        <v>35</v>
      </c>
      <c r="F50">
        <v>13</v>
      </c>
      <c r="G50">
        <v>1</v>
      </c>
      <c r="H50">
        <v>18</v>
      </c>
      <c r="J50">
        <f t="shared" si="0"/>
        <v>1502</v>
      </c>
      <c r="L50">
        <f t="shared" si="1"/>
        <v>0.67053571428571423</v>
      </c>
    </row>
    <row r="51" spans="1:12" x14ac:dyDescent="0.25">
      <c r="A51">
        <v>1718</v>
      </c>
      <c r="B51" t="s">
        <v>56</v>
      </c>
      <c r="C51" t="s">
        <v>55</v>
      </c>
      <c r="D51" t="s">
        <v>35</v>
      </c>
      <c r="H51">
        <v>110</v>
      </c>
      <c r="J51">
        <f t="shared" si="0"/>
        <v>110</v>
      </c>
      <c r="L51">
        <f t="shared" si="1"/>
        <v>4.9107142857142856E-2</v>
      </c>
    </row>
    <row r="52" spans="1:12" x14ac:dyDescent="0.25">
      <c r="A52">
        <v>1718</v>
      </c>
      <c r="B52" t="s">
        <v>102</v>
      </c>
      <c r="C52" t="s">
        <v>55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1718</v>
      </c>
      <c r="B53" t="s">
        <v>20</v>
      </c>
      <c r="C53" t="s">
        <v>55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1718</v>
      </c>
      <c r="B54" t="s">
        <v>21</v>
      </c>
      <c r="C54" t="s">
        <v>55</v>
      </c>
      <c r="D54" t="s">
        <v>35</v>
      </c>
      <c r="H54">
        <v>28</v>
      </c>
      <c r="J54">
        <f t="shared" si="0"/>
        <v>28</v>
      </c>
      <c r="L54">
        <f t="shared" si="1"/>
        <v>1.2500000000000001E-2</v>
      </c>
    </row>
    <row r="55" spans="1:12" x14ac:dyDescent="0.25">
      <c r="A55">
        <v>1718</v>
      </c>
      <c r="B55" t="s">
        <v>95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1718</v>
      </c>
      <c r="B56" t="s">
        <v>22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1718</v>
      </c>
      <c r="B57" t="s">
        <v>63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1718</v>
      </c>
      <c r="B58" t="s">
        <v>96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1718</v>
      </c>
      <c r="B59" t="s">
        <v>91</v>
      </c>
      <c r="C59" t="s">
        <v>55</v>
      </c>
      <c r="D59" t="s">
        <v>35</v>
      </c>
      <c r="F59">
        <v>46</v>
      </c>
      <c r="G59">
        <v>1</v>
      </c>
      <c r="H59">
        <v>19</v>
      </c>
      <c r="J59">
        <f t="shared" si="0"/>
        <v>5199</v>
      </c>
      <c r="L59">
        <f t="shared" si="1"/>
        <v>2.3209821428571429</v>
      </c>
    </row>
    <row r="60" spans="1:12" x14ac:dyDescent="0.25">
      <c r="A60">
        <v>1718</v>
      </c>
      <c r="B60" t="s">
        <v>64</v>
      </c>
      <c r="C60" t="s">
        <v>55</v>
      </c>
      <c r="D60" t="s">
        <v>35</v>
      </c>
      <c r="E60">
        <v>27</v>
      </c>
      <c r="F60">
        <v>2</v>
      </c>
      <c r="H60">
        <v>11</v>
      </c>
      <c r="J60">
        <f t="shared" si="0"/>
        <v>60715</v>
      </c>
      <c r="L60">
        <f t="shared" si="1"/>
        <v>27.104910714285715</v>
      </c>
    </row>
    <row r="61" spans="1:12" x14ac:dyDescent="0.25">
      <c r="A61">
        <v>1718</v>
      </c>
      <c r="B61" t="s">
        <v>65</v>
      </c>
      <c r="C61" t="s">
        <v>55</v>
      </c>
      <c r="D61" t="s">
        <v>35</v>
      </c>
      <c r="E61">
        <v>4</v>
      </c>
      <c r="F61">
        <v>12</v>
      </c>
      <c r="G61">
        <v>1</v>
      </c>
      <c r="H61">
        <v>2</v>
      </c>
      <c r="J61">
        <f t="shared" si="0"/>
        <v>10334</v>
      </c>
      <c r="L61">
        <f t="shared" si="1"/>
        <v>4.6133928571428573</v>
      </c>
    </row>
    <row r="62" spans="1:12" x14ac:dyDescent="0.25">
      <c r="A62">
        <v>1718</v>
      </c>
      <c r="B62" t="s">
        <v>73</v>
      </c>
      <c r="C62" t="s">
        <v>55</v>
      </c>
      <c r="D62" t="s">
        <v>35</v>
      </c>
      <c r="F62">
        <v>1</v>
      </c>
      <c r="G62">
        <v>1</v>
      </c>
      <c r="H62">
        <v>2</v>
      </c>
      <c r="J62">
        <f t="shared" si="0"/>
        <v>142</v>
      </c>
      <c r="L62">
        <f t="shared" si="1"/>
        <v>6.339285714285714E-2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topLeftCell="A71"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57</v>
      </c>
      <c r="C2" t="s">
        <v>58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1718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1718</v>
      </c>
      <c r="B4" t="s">
        <v>38</v>
      </c>
      <c r="C4" t="s">
        <v>58</v>
      </c>
      <c r="D4" t="s">
        <v>33</v>
      </c>
      <c r="H4">
        <v>33861</v>
      </c>
      <c r="J4">
        <f t="shared" si="0"/>
        <v>33861</v>
      </c>
      <c r="L4">
        <f t="shared" si="1"/>
        <v>15.116517857142858</v>
      </c>
    </row>
    <row r="5" spans="1:12" x14ac:dyDescent="0.25">
      <c r="A5">
        <v>1718</v>
      </c>
      <c r="B5" t="s">
        <v>4</v>
      </c>
      <c r="C5" t="s">
        <v>58</v>
      </c>
      <c r="D5" t="s">
        <v>33</v>
      </c>
      <c r="H5">
        <v>517</v>
      </c>
      <c r="J5">
        <f t="shared" si="0"/>
        <v>517</v>
      </c>
      <c r="L5">
        <f t="shared" si="1"/>
        <v>0.23080357142857144</v>
      </c>
    </row>
    <row r="6" spans="1:12" x14ac:dyDescent="0.25">
      <c r="A6">
        <v>1718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1718</v>
      </c>
      <c r="B7" t="s">
        <v>97</v>
      </c>
      <c r="C7" t="s">
        <v>58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1718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1718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1718</v>
      </c>
      <c r="B11" t="s">
        <v>6</v>
      </c>
      <c r="C11" t="s">
        <v>58</v>
      </c>
      <c r="D11" t="s">
        <v>33</v>
      </c>
      <c r="F11">
        <v>175284</v>
      </c>
      <c r="G11">
        <v>1</v>
      </c>
      <c r="H11">
        <v>20</v>
      </c>
      <c r="J11">
        <f t="shared" si="0"/>
        <v>19631856</v>
      </c>
      <c r="L11">
        <f t="shared" si="1"/>
        <v>8764.221428571429</v>
      </c>
    </row>
    <row r="12" spans="1:12" x14ac:dyDescent="0.25">
      <c r="A12">
        <v>1718</v>
      </c>
      <c r="B12" t="s">
        <v>62</v>
      </c>
      <c r="C12" t="s">
        <v>58</v>
      </c>
      <c r="D12" t="s">
        <v>33</v>
      </c>
      <c r="H12">
        <v>681</v>
      </c>
      <c r="J12">
        <f t="shared" si="0"/>
        <v>681</v>
      </c>
      <c r="L12">
        <f t="shared" si="1"/>
        <v>0.30401785714285712</v>
      </c>
    </row>
    <row r="13" spans="1:12" x14ac:dyDescent="0.25">
      <c r="A13">
        <v>1718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1718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1718</v>
      </c>
      <c r="B15" t="s">
        <v>8</v>
      </c>
      <c r="C15" t="s">
        <v>58</v>
      </c>
      <c r="D15" t="s">
        <v>33</v>
      </c>
      <c r="F15">
        <v>111</v>
      </c>
      <c r="G15">
        <v>3</v>
      </c>
      <c r="H15">
        <v>13</v>
      </c>
      <c r="J15">
        <f t="shared" si="0"/>
        <v>12529</v>
      </c>
      <c r="L15">
        <f t="shared" si="1"/>
        <v>5.5933035714285717</v>
      </c>
    </row>
    <row r="16" spans="1:12" x14ac:dyDescent="0.25">
      <c r="A16">
        <v>1718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1718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1718</v>
      </c>
      <c r="B18" t="s">
        <v>9</v>
      </c>
      <c r="C18" t="s">
        <v>58</v>
      </c>
      <c r="D18" t="s">
        <v>33</v>
      </c>
      <c r="H18">
        <v>51500</v>
      </c>
      <c r="J18">
        <f t="shared" si="0"/>
        <v>51500</v>
      </c>
      <c r="L18">
        <f t="shared" si="1"/>
        <v>22.991071428571427</v>
      </c>
    </row>
    <row r="19" spans="1:12" x14ac:dyDescent="0.25">
      <c r="A19">
        <v>1718</v>
      </c>
      <c r="B19" t="s">
        <v>10</v>
      </c>
      <c r="C19" t="s">
        <v>58</v>
      </c>
      <c r="D19" t="s">
        <v>33</v>
      </c>
      <c r="F19">
        <v>3401</v>
      </c>
      <c r="H19">
        <v>16</v>
      </c>
      <c r="J19">
        <f t="shared" si="0"/>
        <v>380928</v>
      </c>
      <c r="L19">
        <f t="shared" si="1"/>
        <v>170.05714285714285</v>
      </c>
    </row>
    <row r="20" spans="1:12" x14ac:dyDescent="0.25">
      <c r="A20">
        <v>1718</v>
      </c>
      <c r="B20" t="s">
        <v>11</v>
      </c>
      <c r="C20" t="s">
        <v>58</v>
      </c>
      <c r="D20" t="s">
        <v>33</v>
      </c>
      <c r="F20">
        <v>186</v>
      </c>
      <c r="H20">
        <v>18</v>
      </c>
      <c r="J20">
        <f t="shared" si="0"/>
        <v>20850</v>
      </c>
      <c r="L20">
        <f t="shared" si="1"/>
        <v>9.3080357142857135</v>
      </c>
    </row>
    <row r="21" spans="1:12" x14ac:dyDescent="0.25">
      <c r="A21">
        <v>1718</v>
      </c>
      <c r="B21" t="s">
        <v>41</v>
      </c>
      <c r="C21" t="s">
        <v>58</v>
      </c>
      <c r="D21" t="s">
        <v>33</v>
      </c>
      <c r="H21">
        <v>457</v>
      </c>
      <c r="J21">
        <f t="shared" si="0"/>
        <v>457</v>
      </c>
      <c r="L21">
        <f t="shared" si="1"/>
        <v>0.20401785714285714</v>
      </c>
    </row>
    <row r="22" spans="1:12" x14ac:dyDescent="0.25">
      <c r="A22">
        <v>1718</v>
      </c>
      <c r="B22" t="s">
        <v>82</v>
      </c>
      <c r="C22" t="s">
        <v>58</v>
      </c>
      <c r="D22" t="s">
        <v>33</v>
      </c>
      <c r="F22">
        <v>165</v>
      </c>
      <c r="G22">
        <v>1</v>
      </c>
      <c r="H22">
        <v>14</v>
      </c>
      <c r="J22">
        <f t="shared" si="0"/>
        <v>18522</v>
      </c>
      <c r="L22">
        <f t="shared" si="1"/>
        <v>8.2687500000000007</v>
      </c>
    </row>
    <row r="23" spans="1:12" x14ac:dyDescent="0.25">
      <c r="A23">
        <v>1718</v>
      </c>
      <c r="B23" t="s">
        <v>46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1718</v>
      </c>
      <c r="B24" t="s">
        <v>12</v>
      </c>
      <c r="C24" t="s">
        <v>58</v>
      </c>
      <c r="D24" t="s">
        <v>33</v>
      </c>
      <c r="H24">
        <v>13752</v>
      </c>
      <c r="J24">
        <f t="shared" si="0"/>
        <v>13752</v>
      </c>
      <c r="L24">
        <f t="shared" si="1"/>
        <v>6.1392857142857142</v>
      </c>
    </row>
    <row r="25" spans="1:12" x14ac:dyDescent="0.25">
      <c r="A25">
        <v>1718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1718</v>
      </c>
      <c r="B26" t="s">
        <v>13</v>
      </c>
      <c r="C26" t="s">
        <v>58</v>
      </c>
      <c r="D26" t="s">
        <v>33</v>
      </c>
      <c r="E26">
        <v>25</v>
      </c>
      <c r="F26">
        <v>9</v>
      </c>
      <c r="G26">
        <v>1</v>
      </c>
      <c r="H26">
        <v>21</v>
      </c>
      <c r="J26">
        <f t="shared" si="0"/>
        <v>57057</v>
      </c>
      <c r="L26">
        <f t="shared" si="1"/>
        <v>25.471875000000001</v>
      </c>
    </row>
    <row r="27" spans="1:12" x14ac:dyDescent="0.25">
      <c r="A27">
        <v>1718</v>
      </c>
      <c r="B27" t="s">
        <v>14</v>
      </c>
      <c r="C27" t="s">
        <v>58</v>
      </c>
      <c r="D27" t="s">
        <v>33</v>
      </c>
      <c r="H27">
        <v>32618</v>
      </c>
      <c r="I27" t="s">
        <v>109</v>
      </c>
      <c r="J27">
        <f t="shared" si="0"/>
        <v>32618</v>
      </c>
      <c r="L27">
        <f t="shared" si="1"/>
        <v>14.561607142857143</v>
      </c>
    </row>
    <row r="28" spans="1:12" x14ac:dyDescent="0.25">
      <c r="A28">
        <v>1718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1718</v>
      </c>
      <c r="B29" t="s">
        <v>27</v>
      </c>
      <c r="C29" t="s">
        <v>58</v>
      </c>
      <c r="D29" t="s">
        <v>33</v>
      </c>
      <c r="H29">
        <v>51963</v>
      </c>
      <c r="I29" t="s">
        <v>108</v>
      </c>
      <c r="J29">
        <f t="shared" si="0"/>
        <v>51963</v>
      </c>
      <c r="L29">
        <f t="shared" si="1"/>
        <v>23.197767857142857</v>
      </c>
    </row>
    <row r="30" spans="1:12" x14ac:dyDescent="0.25">
      <c r="A30">
        <v>1718</v>
      </c>
      <c r="B30" t="s">
        <v>15</v>
      </c>
      <c r="C30" t="s">
        <v>58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1718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1718</v>
      </c>
      <c r="B32" t="s">
        <v>49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1718</v>
      </c>
      <c r="B34" t="s">
        <v>17</v>
      </c>
      <c r="C34" t="s">
        <v>58</v>
      </c>
      <c r="D34" t="s">
        <v>33</v>
      </c>
      <c r="F34">
        <v>8</v>
      </c>
      <c r="G34">
        <v>2</v>
      </c>
      <c r="H34">
        <v>14</v>
      </c>
      <c r="J34">
        <f t="shared" si="0"/>
        <v>966</v>
      </c>
      <c r="L34">
        <f t="shared" si="1"/>
        <v>0.43125000000000002</v>
      </c>
    </row>
    <row r="35" spans="1:12" x14ac:dyDescent="0.25">
      <c r="A35">
        <v>1718</v>
      </c>
      <c r="B35" t="s">
        <v>18</v>
      </c>
      <c r="C35" t="s">
        <v>58</v>
      </c>
      <c r="D35" t="s">
        <v>33</v>
      </c>
      <c r="H35">
        <v>138515.5</v>
      </c>
      <c r="I35" t="s">
        <v>110</v>
      </c>
      <c r="J35">
        <f t="shared" si="0"/>
        <v>138515.5</v>
      </c>
      <c r="L35">
        <f t="shared" si="1"/>
        <v>61.837276785714288</v>
      </c>
    </row>
    <row r="36" spans="1:12" x14ac:dyDescent="0.25">
      <c r="A36">
        <v>1718</v>
      </c>
      <c r="B36" t="s">
        <v>26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1718</v>
      </c>
      <c r="B37" t="s">
        <v>19</v>
      </c>
      <c r="C37" t="s">
        <v>58</v>
      </c>
      <c r="D37" t="s">
        <v>33</v>
      </c>
      <c r="F37">
        <v>124</v>
      </c>
      <c r="G37">
        <v>1</v>
      </c>
      <c r="H37">
        <v>19</v>
      </c>
      <c r="J37">
        <f t="shared" si="0"/>
        <v>13935</v>
      </c>
      <c r="L37">
        <f t="shared" si="1"/>
        <v>6.2209821428571432</v>
      </c>
    </row>
    <row r="38" spans="1:12" x14ac:dyDescent="0.25">
      <c r="A38">
        <v>1718</v>
      </c>
      <c r="B38" t="s">
        <v>47</v>
      </c>
      <c r="C38" t="s">
        <v>58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1718</v>
      </c>
      <c r="B39" t="s">
        <v>56</v>
      </c>
      <c r="C39" t="s">
        <v>58</v>
      </c>
      <c r="D39" t="s">
        <v>33</v>
      </c>
      <c r="H39">
        <v>3894</v>
      </c>
      <c r="J39">
        <f t="shared" si="0"/>
        <v>3894</v>
      </c>
      <c r="L39">
        <f t="shared" si="1"/>
        <v>1.7383928571428571</v>
      </c>
    </row>
    <row r="40" spans="1:12" x14ac:dyDescent="0.25">
      <c r="A40">
        <v>1718</v>
      </c>
      <c r="B40" t="s">
        <v>102</v>
      </c>
      <c r="C40" t="s">
        <v>58</v>
      </c>
      <c r="D40" t="s">
        <v>33</v>
      </c>
      <c r="H40">
        <v>403</v>
      </c>
      <c r="J40">
        <f t="shared" si="0"/>
        <v>403</v>
      </c>
      <c r="L40">
        <f t="shared" si="1"/>
        <v>0.17991071428571428</v>
      </c>
    </row>
    <row r="41" spans="1:12" x14ac:dyDescent="0.25">
      <c r="A41">
        <v>1718</v>
      </c>
      <c r="B41" t="s">
        <v>20</v>
      </c>
      <c r="C41" t="s">
        <v>58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1718</v>
      </c>
      <c r="B42" t="s">
        <v>21</v>
      </c>
      <c r="C42" t="s">
        <v>58</v>
      </c>
      <c r="D42" t="s">
        <v>33</v>
      </c>
      <c r="H42">
        <v>423</v>
      </c>
      <c r="J42">
        <f t="shared" si="0"/>
        <v>423</v>
      </c>
      <c r="L42">
        <f t="shared" si="1"/>
        <v>0.18883928571428571</v>
      </c>
    </row>
    <row r="43" spans="1:12" x14ac:dyDescent="0.25">
      <c r="A43">
        <v>1718</v>
      </c>
      <c r="B43" t="s">
        <v>22</v>
      </c>
      <c r="C43" t="s">
        <v>58</v>
      </c>
      <c r="D43" t="s">
        <v>33</v>
      </c>
      <c r="F43">
        <v>96</v>
      </c>
      <c r="H43">
        <v>2</v>
      </c>
      <c r="J43">
        <f t="shared" si="0"/>
        <v>10754</v>
      </c>
      <c r="L43">
        <f t="shared" si="1"/>
        <v>4.8008928571428573</v>
      </c>
    </row>
    <row r="44" spans="1:12" x14ac:dyDescent="0.25">
      <c r="A44">
        <v>1718</v>
      </c>
      <c r="B44" t="s">
        <v>63</v>
      </c>
      <c r="C44" t="s">
        <v>58</v>
      </c>
      <c r="D44" t="s">
        <v>33</v>
      </c>
      <c r="E44">
        <v>27</v>
      </c>
      <c r="F44">
        <v>7</v>
      </c>
      <c r="G44">
        <v>2</v>
      </c>
      <c r="J44">
        <f t="shared" si="0"/>
        <v>61320</v>
      </c>
      <c r="L44">
        <f t="shared" si="1"/>
        <v>27.375</v>
      </c>
    </row>
    <row r="45" spans="1:12" x14ac:dyDescent="0.25">
      <c r="A45">
        <v>1718</v>
      </c>
      <c r="B45" t="s">
        <v>64</v>
      </c>
      <c r="C45" t="s">
        <v>58</v>
      </c>
      <c r="D45" t="s">
        <v>33</v>
      </c>
      <c r="E45">
        <v>196</v>
      </c>
      <c r="F45">
        <v>1</v>
      </c>
      <c r="H45">
        <v>13</v>
      </c>
      <c r="J45">
        <f t="shared" si="0"/>
        <v>439165</v>
      </c>
      <c r="L45">
        <f t="shared" si="1"/>
        <v>196.05580357142858</v>
      </c>
    </row>
    <row r="46" spans="1:12" x14ac:dyDescent="0.25">
      <c r="A46">
        <v>1718</v>
      </c>
      <c r="B46" t="s">
        <v>65</v>
      </c>
      <c r="C46" t="s">
        <v>58</v>
      </c>
      <c r="D46" t="s">
        <v>33</v>
      </c>
      <c r="E46">
        <v>65</v>
      </c>
      <c r="F46">
        <v>6</v>
      </c>
      <c r="G46">
        <v>3</v>
      </c>
      <c r="J46">
        <f t="shared" si="0"/>
        <v>146356</v>
      </c>
      <c r="L46">
        <f t="shared" si="1"/>
        <v>65.337500000000006</v>
      </c>
    </row>
    <row r="47" spans="1:12" x14ac:dyDescent="0.25">
      <c r="A47">
        <v>1718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1718</v>
      </c>
      <c r="B48" t="s">
        <v>66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67</v>
      </c>
      <c r="C49" t="s">
        <v>58</v>
      </c>
      <c r="D49" t="s">
        <v>33</v>
      </c>
      <c r="F49">
        <v>30</v>
      </c>
      <c r="J49">
        <f t="shared" si="0"/>
        <v>3360</v>
      </c>
      <c r="L49">
        <f t="shared" si="1"/>
        <v>1.5</v>
      </c>
    </row>
    <row r="50" spans="1:12" x14ac:dyDescent="0.25">
      <c r="A50">
        <v>1718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1718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1718</v>
      </c>
      <c r="B52" t="s">
        <v>38</v>
      </c>
      <c r="C52" t="s">
        <v>58</v>
      </c>
      <c r="D52" t="s">
        <v>35</v>
      </c>
      <c r="H52">
        <v>1691</v>
      </c>
      <c r="J52">
        <f t="shared" si="0"/>
        <v>1691</v>
      </c>
      <c r="L52">
        <f t="shared" si="1"/>
        <v>0.75491071428571432</v>
      </c>
    </row>
    <row r="53" spans="1:12" x14ac:dyDescent="0.25">
      <c r="A53">
        <v>1718</v>
      </c>
      <c r="B53" t="s">
        <v>4</v>
      </c>
      <c r="C53" t="s">
        <v>58</v>
      </c>
      <c r="D53" t="s">
        <v>35</v>
      </c>
      <c r="H53">
        <v>605</v>
      </c>
      <c r="J53">
        <f t="shared" si="0"/>
        <v>605</v>
      </c>
      <c r="L53">
        <f t="shared" si="1"/>
        <v>0.2700892857142857</v>
      </c>
    </row>
    <row r="54" spans="1:12" x14ac:dyDescent="0.25">
      <c r="A54">
        <v>1718</v>
      </c>
      <c r="B54" t="s">
        <v>60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1718</v>
      </c>
      <c r="B55" t="s">
        <v>97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1718</v>
      </c>
      <c r="B56" t="s">
        <v>45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1718</v>
      </c>
      <c r="B57" t="s">
        <v>5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1718</v>
      </c>
      <c r="B58" t="s">
        <v>61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1718</v>
      </c>
      <c r="B59" t="s">
        <v>6</v>
      </c>
      <c r="C59" t="s">
        <v>58</v>
      </c>
      <c r="D59" t="s">
        <v>35</v>
      </c>
      <c r="F59">
        <v>52455</v>
      </c>
      <c r="G59">
        <v>2</v>
      </c>
      <c r="H59">
        <v>25</v>
      </c>
      <c r="J59">
        <f t="shared" si="0"/>
        <v>5875041</v>
      </c>
      <c r="L59">
        <f t="shared" si="1"/>
        <v>2622.7861607142859</v>
      </c>
    </row>
    <row r="60" spans="1:12" x14ac:dyDescent="0.25">
      <c r="A60">
        <v>1718</v>
      </c>
      <c r="B60" t="s">
        <v>62</v>
      </c>
      <c r="C60" t="s">
        <v>58</v>
      </c>
      <c r="D60" t="s">
        <v>35</v>
      </c>
      <c r="H60">
        <v>20</v>
      </c>
      <c r="J60">
        <f t="shared" si="0"/>
        <v>20</v>
      </c>
      <c r="L60">
        <f t="shared" si="1"/>
        <v>8.9285714285714281E-3</v>
      </c>
    </row>
    <row r="61" spans="1:12" x14ac:dyDescent="0.25">
      <c r="A61">
        <v>1718</v>
      </c>
      <c r="B61" t="s">
        <v>7</v>
      </c>
      <c r="C61" t="s">
        <v>58</v>
      </c>
      <c r="D61" t="s">
        <v>35</v>
      </c>
      <c r="H61">
        <v>45</v>
      </c>
      <c r="J61">
        <f t="shared" si="0"/>
        <v>45</v>
      </c>
      <c r="L61">
        <f t="shared" si="1"/>
        <v>2.0089285714285716E-2</v>
      </c>
    </row>
    <row r="62" spans="1:12" x14ac:dyDescent="0.25">
      <c r="A62">
        <v>1718</v>
      </c>
      <c r="B62" t="s">
        <v>39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1718</v>
      </c>
      <c r="B63" t="s">
        <v>8</v>
      </c>
      <c r="C63" t="s">
        <v>58</v>
      </c>
      <c r="D63" t="s">
        <v>35</v>
      </c>
      <c r="F63">
        <v>17</v>
      </c>
      <c r="G63">
        <v>3</v>
      </c>
      <c r="H63">
        <v>11</v>
      </c>
      <c r="J63">
        <f t="shared" si="0"/>
        <v>1999</v>
      </c>
      <c r="L63">
        <f t="shared" si="1"/>
        <v>0.89241071428571428</v>
      </c>
    </row>
    <row r="64" spans="1:12" x14ac:dyDescent="0.25">
      <c r="A64">
        <v>1718</v>
      </c>
      <c r="B64" t="s">
        <v>42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1718</v>
      </c>
      <c r="B65" t="s">
        <v>9</v>
      </c>
      <c r="C65" t="s">
        <v>58</v>
      </c>
      <c r="D65" t="s">
        <v>35</v>
      </c>
      <c r="H65">
        <v>106748</v>
      </c>
      <c r="J65">
        <f t="shared" si="0"/>
        <v>106748</v>
      </c>
      <c r="L65">
        <f t="shared" si="1"/>
        <v>47.655357142857142</v>
      </c>
    </row>
    <row r="66" spans="1:12" x14ac:dyDescent="0.25">
      <c r="A66">
        <v>1718</v>
      </c>
      <c r="B66" t="s">
        <v>10</v>
      </c>
      <c r="C66" t="s">
        <v>58</v>
      </c>
      <c r="D66" t="s">
        <v>35</v>
      </c>
      <c r="F66">
        <v>548</v>
      </c>
      <c r="G66">
        <v>3</v>
      </c>
      <c r="H66">
        <v>20</v>
      </c>
      <c r="J66">
        <f t="shared" si="0"/>
        <v>61480</v>
      </c>
      <c r="L66">
        <f t="shared" si="1"/>
        <v>27.446428571428573</v>
      </c>
    </row>
    <row r="67" spans="1:12" x14ac:dyDescent="0.25">
      <c r="A67">
        <v>1718</v>
      </c>
      <c r="B67" t="s">
        <v>11</v>
      </c>
      <c r="C67" t="s">
        <v>58</v>
      </c>
      <c r="D67" t="s">
        <v>35</v>
      </c>
      <c r="F67">
        <v>375</v>
      </c>
      <c r="H67">
        <v>9</v>
      </c>
      <c r="J67">
        <f t="shared" ref="J67:J98" si="2">(E67*2240)+(F67*112)+(G67*28)+H67</f>
        <v>42009</v>
      </c>
      <c r="L67">
        <f t="shared" ref="L67:L98" si="3">J67/2240</f>
        <v>18.754017857142856</v>
      </c>
    </row>
    <row r="68" spans="1:12" x14ac:dyDescent="0.25">
      <c r="A68">
        <v>1718</v>
      </c>
      <c r="B68" t="s">
        <v>41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1718</v>
      </c>
      <c r="B69" t="s">
        <v>82</v>
      </c>
      <c r="C69" t="s">
        <v>58</v>
      </c>
      <c r="D69" t="s">
        <v>35</v>
      </c>
      <c r="H69">
        <v>1048</v>
      </c>
      <c r="J69">
        <f t="shared" si="2"/>
        <v>1048</v>
      </c>
      <c r="L69">
        <f t="shared" si="3"/>
        <v>0.46785714285714286</v>
      </c>
    </row>
    <row r="70" spans="1:12" x14ac:dyDescent="0.25">
      <c r="A70">
        <v>1718</v>
      </c>
      <c r="B70" t="s">
        <v>46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1718</v>
      </c>
      <c r="B71" t="s">
        <v>12</v>
      </c>
      <c r="C71" t="s">
        <v>58</v>
      </c>
      <c r="D71" t="s">
        <v>35</v>
      </c>
      <c r="H71">
        <v>8246</v>
      </c>
      <c r="J71">
        <f t="shared" si="2"/>
        <v>8246</v>
      </c>
      <c r="L71">
        <f t="shared" si="3"/>
        <v>3.6812499999999999</v>
      </c>
    </row>
    <row r="72" spans="1:12" x14ac:dyDescent="0.25">
      <c r="A72">
        <v>1718</v>
      </c>
      <c r="B72" t="s">
        <v>34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1718</v>
      </c>
      <c r="B73" t="s">
        <v>13</v>
      </c>
      <c r="C73" t="s">
        <v>58</v>
      </c>
      <c r="D73" t="s">
        <v>35</v>
      </c>
      <c r="F73">
        <v>137</v>
      </c>
      <c r="G73">
        <v>1</v>
      </c>
      <c r="H73">
        <v>25</v>
      </c>
      <c r="J73">
        <f t="shared" si="2"/>
        <v>15397</v>
      </c>
      <c r="L73">
        <f t="shared" si="3"/>
        <v>6.8736607142857142</v>
      </c>
    </row>
    <row r="74" spans="1:12" x14ac:dyDescent="0.25">
      <c r="A74">
        <v>1718</v>
      </c>
      <c r="B74" t="s">
        <v>14</v>
      </c>
      <c r="C74" t="s">
        <v>58</v>
      </c>
      <c r="D74" t="s">
        <v>35</v>
      </c>
      <c r="H74">
        <v>14994</v>
      </c>
      <c r="I74" t="s">
        <v>123</v>
      </c>
      <c r="J74">
        <f t="shared" si="2"/>
        <v>14994</v>
      </c>
      <c r="L74">
        <f t="shared" si="3"/>
        <v>6.6937499999999996</v>
      </c>
    </row>
    <row r="75" spans="1:12" x14ac:dyDescent="0.25">
      <c r="A75">
        <v>1718</v>
      </c>
      <c r="B75" t="s">
        <v>23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1718</v>
      </c>
      <c r="B76" t="s">
        <v>27</v>
      </c>
      <c r="C76" t="s">
        <v>58</v>
      </c>
      <c r="D76" t="s">
        <v>35</v>
      </c>
      <c r="H76">
        <v>720</v>
      </c>
      <c r="I76" t="s">
        <v>122</v>
      </c>
      <c r="J76">
        <f t="shared" si="2"/>
        <v>720</v>
      </c>
      <c r="L76">
        <f t="shared" si="3"/>
        <v>0.32142857142857145</v>
      </c>
    </row>
    <row r="77" spans="1:12" x14ac:dyDescent="0.25">
      <c r="A77">
        <v>1718</v>
      </c>
      <c r="B77" t="s">
        <v>15</v>
      </c>
      <c r="C77" t="s">
        <v>58</v>
      </c>
      <c r="D77" t="s">
        <v>35</v>
      </c>
      <c r="F77">
        <v>95</v>
      </c>
      <c r="H77">
        <v>24</v>
      </c>
      <c r="J77">
        <f t="shared" si="2"/>
        <v>10664</v>
      </c>
      <c r="L77">
        <f t="shared" si="3"/>
        <v>4.7607142857142861</v>
      </c>
    </row>
    <row r="78" spans="1:12" x14ac:dyDescent="0.25">
      <c r="A78">
        <v>1718</v>
      </c>
      <c r="B78" t="s">
        <v>98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1718</v>
      </c>
      <c r="B79" t="s">
        <v>44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1718</v>
      </c>
      <c r="B80" t="s">
        <v>49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1718</v>
      </c>
      <c r="B81" t="s">
        <v>16</v>
      </c>
      <c r="C81" t="s">
        <v>58</v>
      </c>
      <c r="D81" t="s">
        <v>35</v>
      </c>
      <c r="H81">
        <v>200</v>
      </c>
      <c r="J81">
        <f t="shared" si="2"/>
        <v>200</v>
      </c>
      <c r="L81">
        <f t="shared" si="3"/>
        <v>8.9285714285714288E-2</v>
      </c>
    </row>
    <row r="82" spans="1:12" x14ac:dyDescent="0.25">
      <c r="A82">
        <v>1718</v>
      </c>
      <c r="B82" t="s">
        <v>17</v>
      </c>
      <c r="C82" t="s">
        <v>58</v>
      </c>
      <c r="D82" t="s">
        <v>35</v>
      </c>
      <c r="F82">
        <v>94</v>
      </c>
      <c r="G82">
        <v>2</v>
      </c>
      <c r="H82">
        <v>26</v>
      </c>
      <c r="J82">
        <f t="shared" si="2"/>
        <v>10610</v>
      </c>
      <c r="L82">
        <f t="shared" si="3"/>
        <v>4.7366071428571432</v>
      </c>
    </row>
    <row r="83" spans="1:12" x14ac:dyDescent="0.25">
      <c r="A83">
        <v>1718</v>
      </c>
      <c r="B83" t="s">
        <v>18</v>
      </c>
      <c r="C83" t="s">
        <v>58</v>
      </c>
      <c r="D83" t="s">
        <v>35</v>
      </c>
      <c r="H83">
        <v>18267</v>
      </c>
      <c r="I83" t="s">
        <v>124</v>
      </c>
      <c r="J83">
        <f t="shared" si="2"/>
        <v>18267</v>
      </c>
      <c r="L83">
        <f t="shared" si="3"/>
        <v>8.1549107142857142</v>
      </c>
    </row>
    <row r="84" spans="1:12" x14ac:dyDescent="0.25">
      <c r="A84">
        <v>1718</v>
      </c>
      <c r="B84" t="s">
        <v>26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1718</v>
      </c>
      <c r="B85" t="s">
        <v>19</v>
      </c>
      <c r="C85" t="s">
        <v>58</v>
      </c>
      <c r="D85" t="s">
        <v>35</v>
      </c>
      <c r="F85">
        <v>7</v>
      </c>
      <c r="G85">
        <v>1</v>
      </c>
      <c r="H85">
        <v>11</v>
      </c>
      <c r="J85">
        <f t="shared" si="2"/>
        <v>823</v>
      </c>
      <c r="L85">
        <f t="shared" si="3"/>
        <v>0.36741071428571431</v>
      </c>
    </row>
    <row r="86" spans="1:12" x14ac:dyDescent="0.25">
      <c r="A86">
        <v>1718</v>
      </c>
      <c r="B86" t="s">
        <v>47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1718</v>
      </c>
      <c r="B87" t="s">
        <v>56</v>
      </c>
      <c r="C87" t="s">
        <v>58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1718</v>
      </c>
      <c r="B88" t="s">
        <v>102</v>
      </c>
      <c r="C88" t="s">
        <v>58</v>
      </c>
      <c r="D88" t="s">
        <v>35</v>
      </c>
      <c r="H88">
        <v>14</v>
      </c>
      <c r="J88">
        <f t="shared" si="2"/>
        <v>14</v>
      </c>
      <c r="L88">
        <f t="shared" si="3"/>
        <v>6.2500000000000003E-3</v>
      </c>
    </row>
    <row r="89" spans="1:12" x14ac:dyDescent="0.25">
      <c r="A89">
        <v>1718</v>
      </c>
      <c r="B89" t="s">
        <v>20</v>
      </c>
      <c r="C89" t="s">
        <v>58</v>
      </c>
      <c r="D89" t="s">
        <v>35</v>
      </c>
      <c r="H89">
        <v>189</v>
      </c>
      <c r="J89">
        <f t="shared" si="2"/>
        <v>189</v>
      </c>
      <c r="L89">
        <f t="shared" si="3"/>
        <v>8.4375000000000006E-2</v>
      </c>
    </row>
    <row r="90" spans="1:12" x14ac:dyDescent="0.25">
      <c r="A90">
        <v>1718</v>
      </c>
      <c r="B90" t="s">
        <v>21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1718</v>
      </c>
      <c r="B91" t="s">
        <v>22</v>
      </c>
      <c r="C91" t="s">
        <v>58</v>
      </c>
      <c r="D91" t="s">
        <v>35</v>
      </c>
      <c r="F91">
        <v>5</v>
      </c>
      <c r="H91">
        <v>6</v>
      </c>
      <c r="J91">
        <f t="shared" si="2"/>
        <v>566</v>
      </c>
      <c r="L91">
        <f t="shared" si="3"/>
        <v>0.25267857142857142</v>
      </c>
    </row>
    <row r="92" spans="1:12" x14ac:dyDescent="0.25">
      <c r="A92">
        <v>1718</v>
      </c>
      <c r="B92" t="s">
        <v>63</v>
      </c>
      <c r="C92" t="s">
        <v>58</v>
      </c>
      <c r="D92" t="s">
        <v>35</v>
      </c>
      <c r="F92">
        <v>201</v>
      </c>
      <c r="G92">
        <v>1</v>
      </c>
      <c r="H92">
        <v>13</v>
      </c>
      <c r="J92">
        <f t="shared" si="2"/>
        <v>22553</v>
      </c>
      <c r="L92">
        <f t="shared" si="3"/>
        <v>10.068303571428572</v>
      </c>
    </row>
    <row r="93" spans="1:12" x14ac:dyDescent="0.25">
      <c r="A93">
        <v>1718</v>
      </c>
      <c r="B93" t="s">
        <v>64</v>
      </c>
      <c r="C93" t="s">
        <v>58</v>
      </c>
      <c r="D93" t="s">
        <v>35</v>
      </c>
      <c r="E93">
        <v>385</v>
      </c>
      <c r="F93">
        <v>13</v>
      </c>
      <c r="G93">
        <v>2</v>
      </c>
      <c r="H93">
        <v>2</v>
      </c>
      <c r="J93">
        <f t="shared" si="2"/>
        <v>863914</v>
      </c>
      <c r="L93">
        <f t="shared" si="3"/>
        <v>385.67589285714286</v>
      </c>
    </row>
    <row r="94" spans="1:12" x14ac:dyDescent="0.25">
      <c r="A94">
        <v>1718</v>
      </c>
      <c r="B94" t="s">
        <v>65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1718</v>
      </c>
      <c r="B95" t="s">
        <v>93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1718</v>
      </c>
      <c r="B96" t="s">
        <v>73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1718</v>
      </c>
      <c r="B97" t="s">
        <v>66</v>
      </c>
      <c r="C97" t="s">
        <v>58</v>
      </c>
      <c r="D97" t="s">
        <v>35</v>
      </c>
      <c r="F97">
        <v>4</v>
      </c>
      <c r="G97">
        <v>2</v>
      </c>
      <c r="J97">
        <f t="shared" si="2"/>
        <v>504</v>
      </c>
      <c r="L97">
        <f t="shared" si="3"/>
        <v>0.22500000000000001</v>
      </c>
    </row>
    <row r="98" spans="1:12" x14ac:dyDescent="0.25">
      <c r="A98">
        <v>1718</v>
      </c>
      <c r="B98" t="s">
        <v>67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5"/>
  <sheetViews>
    <sheetView workbookViewId="0">
      <selection activeCell="H25" sqref="H25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68</v>
      </c>
      <c r="C2" t="s">
        <v>69</v>
      </c>
      <c r="D2" t="s">
        <v>33</v>
      </c>
      <c r="J2">
        <f t="shared" ref="J2:J25" si="0">(E2*2240)+(F2*112)+(G2*28)+H2</f>
        <v>0</v>
      </c>
      <c r="L2">
        <f t="shared" ref="L2:L25" si="1">J2/2240</f>
        <v>0</v>
      </c>
    </row>
    <row r="3" spans="1:12" x14ac:dyDescent="0.25">
      <c r="A3">
        <v>1718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1718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1718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1718</v>
      </c>
      <c r="B6" t="s">
        <v>12</v>
      </c>
      <c r="C6" t="s">
        <v>69</v>
      </c>
      <c r="D6" t="s">
        <v>33</v>
      </c>
      <c r="H6">
        <v>1385</v>
      </c>
      <c r="J6">
        <f t="shared" si="0"/>
        <v>1385</v>
      </c>
      <c r="L6">
        <f t="shared" si="1"/>
        <v>0.6183035714285714</v>
      </c>
    </row>
    <row r="7" spans="1:12" x14ac:dyDescent="0.25">
      <c r="A7">
        <v>1718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1718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1718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19</v>
      </c>
      <c r="C10" t="s">
        <v>69</v>
      </c>
      <c r="D10" t="s">
        <v>33</v>
      </c>
      <c r="F10">
        <v>1</v>
      </c>
      <c r="G10">
        <v>3</v>
      </c>
      <c r="H10">
        <v>19</v>
      </c>
      <c r="J10">
        <f t="shared" si="0"/>
        <v>215</v>
      </c>
      <c r="L10">
        <f t="shared" si="1"/>
        <v>9.5982142857142863E-2</v>
      </c>
    </row>
    <row r="11" spans="1:12" x14ac:dyDescent="0.25">
      <c r="A11">
        <v>1718</v>
      </c>
      <c r="B11" t="s">
        <v>56</v>
      </c>
      <c r="C11" t="s">
        <v>69</v>
      </c>
      <c r="D11" t="s">
        <v>33</v>
      </c>
      <c r="H11">
        <v>16</v>
      </c>
      <c r="J11">
        <f t="shared" si="0"/>
        <v>16</v>
      </c>
      <c r="L11">
        <f t="shared" si="1"/>
        <v>7.1428571428571426E-3</v>
      </c>
    </row>
    <row r="12" spans="1:12" x14ac:dyDescent="0.25">
      <c r="A12">
        <v>1718</v>
      </c>
      <c r="B12" t="s">
        <v>21</v>
      </c>
      <c r="C12" t="s">
        <v>69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1718</v>
      </c>
      <c r="B13" t="s">
        <v>63</v>
      </c>
      <c r="C13" t="s">
        <v>69</v>
      </c>
      <c r="D13" t="s">
        <v>33</v>
      </c>
      <c r="E13">
        <v>18</v>
      </c>
      <c r="F13">
        <v>2</v>
      </c>
      <c r="G13">
        <v>3</v>
      </c>
      <c r="J13">
        <f t="shared" si="0"/>
        <v>40628</v>
      </c>
      <c r="L13">
        <f t="shared" si="1"/>
        <v>18.137499999999999</v>
      </c>
    </row>
    <row r="14" spans="1:12" x14ac:dyDescent="0.25">
      <c r="A14">
        <v>1718</v>
      </c>
      <c r="B14" t="s">
        <v>65</v>
      </c>
      <c r="C14" t="s">
        <v>69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1718</v>
      </c>
      <c r="B15" t="s">
        <v>6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1718</v>
      </c>
      <c r="B16" t="s">
        <v>12</v>
      </c>
      <c r="C16" t="s">
        <v>69</v>
      </c>
      <c r="D16" t="s">
        <v>35</v>
      </c>
      <c r="H16">
        <v>2598</v>
      </c>
      <c r="J16">
        <f t="shared" si="0"/>
        <v>2598</v>
      </c>
      <c r="L16">
        <f t="shared" si="1"/>
        <v>1.1598214285714286</v>
      </c>
    </row>
    <row r="17" spans="1:12" x14ac:dyDescent="0.25">
      <c r="A17">
        <v>1718</v>
      </c>
      <c r="B17" t="s">
        <v>43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1718</v>
      </c>
      <c r="B18" t="s">
        <v>27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1718</v>
      </c>
      <c r="B19" t="s">
        <v>17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1718</v>
      </c>
      <c r="B20" t="s">
        <v>19</v>
      </c>
      <c r="C20" t="s">
        <v>69</v>
      </c>
      <c r="D20" t="s">
        <v>35</v>
      </c>
      <c r="F20">
        <v>1</v>
      </c>
      <c r="G20">
        <v>1</v>
      </c>
      <c r="H20">
        <v>24</v>
      </c>
      <c r="J20">
        <f t="shared" si="0"/>
        <v>164</v>
      </c>
      <c r="L20">
        <f t="shared" si="1"/>
        <v>7.3214285714285718E-2</v>
      </c>
    </row>
    <row r="21" spans="1:12" x14ac:dyDescent="0.25">
      <c r="A21">
        <v>1718</v>
      </c>
      <c r="B21" t="s">
        <v>56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1718</v>
      </c>
      <c r="B22" t="s">
        <v>9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1718</v>
      </c>
      <c r="B23" t="s">
        <v>8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1718</v>
      </c>
      <c r="B24" t="s">
        <v>63</v>
      </c>
      <c r="C24" t="s">
        <v>69</v>
      </c>
      <c r="D24" t="s">
        <v>35</v>
      </c>
      <c r="E24">
        <v>8</v>
      </c>
      <c r="F24">
        <v>16</v>
      </c>
      <c r="G24">
        <v>2</v>
      </c>
      <c r="H24">
        <v>22</v>
      </c>
      <c r="J24">
        <f t="shared" si="0"/>
        <v>19790</v>
      </c>
      <c r="L24">
        <f t="shared" si="1"/>
        <v>8.8348214285714288</v>
      </c>
    </row>
    <row r="25" spans="1:12" x14ac:dyDescent="0.25">
      <c r="A25">
        <v>1718</v>
      </c>
      <c r="B25" t="s">
        <v>65</v>
      </c>
      <c r="C25" t="s">
        <v>69</v>
      </c>
      <c r="D25" t="s">
        <v>35</v>
      </c>
      <c r="J25">
        <f t="shared" si="0"/>
        <v>0</v>
      </c>
      <c r="L25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109" zoomScaleNormal="100" workbookViewId="0">
      <selection activeCell="H106" sqref="H10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1718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1718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1718</v>
      </c>
      <c r="B5" t="s">
        <v>4</v>
      </c>
      <c r="C5" t="s">
        <v>70</v>
      </c>
      <c r="D5" t="s">
        <v>33</v>
      </c>
      <c r="H5">
        <v>48</v>
      </c>
      <c r="J5">
        <f t="shared" si="0"/>
        <v>48</v>
      </c>
      <c r="L5">
        <f t="shared" si="1"/>
        <v>2.1428571428571429E-2</v>
      </c>
    </row>
    <row r="6" spans="1:12" x14ac:dyDescent="0.25">
      <c r="A6">
        <v>1718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1718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1718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1718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5</v>
      </c>
      <c r="C10" t="s">
        <v>70</v>
      </c>
      <c r="D10" t="s">
        <v>33</v>
      </c>
      <c r="F10">
        <v>21</v>
      </c>
      <c r="G10">
        <v>2</v>
      </c>
      <c r="H10">
        <v>14</v>
      </c>
      <c r="J10">
        <f t="shared" si="0"/>
        <v>2422</v>
      </c>
      <c r="L10">
        <f t="shared" si="1"/>
        <v>1.08125</v>
      </c>
    </row>
    <row r="11" spans="1:12" x14ac:dyDescent="0.25">
      <c r="A11">
        <v>1718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1718</v>
      </c>
      <c r="B12" t="s">
        <v>6</v>
      </c>
      <c r="C12" t="s">
        <v>70</v>
      </c>
      <c r="D12" t="s">
        <v>33</v>
      </c>
      <c r="F12">
        <v>129005</v>
      </c>
      <c r="G12">
        <v>3</v>
      </c>
      <c r="H12">
        <v>27</v>
      </c>
      <c r="J12">
        <f t="shared" si="0"/>
        <v>14448671</v>
      </c>
      <c r="L12">
        <f t="shared" si="1"/>
        <v>6450.299553571429</v>
      </c>
    </row>
    <row r="13" spans="1:12" x14ac:dyDescent="0.25">
      <c r="A13">
        <v>1718</v>
      </c>
      <c r="B13" t="s">
        <v>103</v>
      </c>
      <c r="C13" t="s">
        <v>70</v>
      </c>
      <c r="D13" t="s">
        <v>33</v>
      </c>
      <c r="H13">
        <v>373</v>
      </c>
      <c r="J13">
        <f t="shared" si="0"/>
        <v>373</v>
      </c>
      <c r="L13">
        <f t="shared" si="1"/>
        <v>0.16651785714285713</v>
      </c>
    </row>
    <row r="14" spans="1:12" x14ac:dyDescent="0.25">
      <c r="A14">
        <v>1718</v>
      </c>
      <c r="B14" t="s">
        <v>62</v>
      </c>
      <c r="C14" t="s">
        <v>70</v>
      </c>
      <c r="D14" t="s">
        <v>33</v>
      </c>
      <c r="H14">
        <v>117</v>
      </c>
      <c r="J14">
        <f t="shared" si="0"/>
        <v>117</v>
      </c>
      <c r="L14">
        <f t="shared" si="1"/>
        <v>5.2232142857142859E-2</v>
      </c>
    </row>
    <row r="15" spans="1:12" x14ac:dyDescent="0.25">
      <c r="A15">
        <v>1718</v>
      </c>
      <c r="B15" t="s">
        <v>7</v>
      </c>
      <c r="C15" t="s">
        <v>70</v>
      </c>
      <c r="D15" t="s">
        <v>33</v>
      </c>
      <c r="H15">
        <v>8</v>
      </c>
      <c r="J15">
        <f t="shared" si="0"/>
        <v>8</v>
      </c>
      <c r="L15">
        <f t="shared" si="1"/>
        <v>3.5714285714285713E-3</v>
      </c>
    </row>
    <row r="16" spans="1:12" x14ac:dyDescent="0.25">
      <c r="A16">
        <v>1718</v>
      </c>
      <c r="B16" t="s">
        <v>39</v>
      </c>
      <c r="C16" t="s">
        <v>70</v>
      </c>
      <c r="D16" t="s">
        <v>33</v>
      </c>
      <c r="H16">
        <v>7348</v>
      </c>
      <c r="J16">
        <f t="shared" si="0"/>
        <v>7348</v>
      </c>
      <c r="L16">
        <f t="shared" si="1"/>
        <v>3.280357142857143</v>
      </c>
    </row>
    <row r="17" spans="1:12" x14ac:dyDescent="0.25">
      <c r="A17">
        <v>1718</v>
      </c>
      <c r="B17" t="s">
        <v>8</v>
      </c>
      <c r="C17" t="s">
        <v>70</v>
      </c>
      <c r="D17" t="s">
        <v>33</v>
      </c>
      <c r="F17">
        <v>18</v>
      </c>
      <c r="G17">
        <v>2</v>
      </c>
      <c r="H17">
        <v>18</v>
      </c>
      <c r="J17">
        <f t="shared" si="0"/>
        <v>2090</v>
      </c>
      <c r="L17">
        <f t="shared" si="1"/>
        <v>0.9330357142857143</v>
      </c>
    </row>
    <row r="18" spans="1:12" x14ac:dyDescent="0.25">
      <c r="A18">
        <v>1718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1718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1718</v>
      </c>
      <c r="B20" t="s">
        <v>81</v>
      </c>
      <c r="C20" t="s">
        <v>70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1718</v>
      </c>
      <c r="B21" t="s">
        <v>48</v>
      </c>
      <c r="C21" t="s">
        <v>70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1718</v>
      </c>
      <c r="B22" t="s">
        <v>9</v>
      </c>
      <c r="C22" t="s">
        <v>70</v>
      </c>
      <c r="D22" t="s">
        <v>33</v>
      </c>
      <c r="H22">
        <v>27800</v>
      </c>
      <c r="J22">
        <f t="shared" si="0"/>
        <v>27800</v>
      </c>
      <c r="L22">
        <f t="shared" si="1"/>
        <v>12.410714285714286</v>
      </c>
    </row>
    <row r="23" spans="1:12" x14ac:dyDescent="0.25">
      <c r="A23">
        <v>1718</v>
      </c>
      <c r="B23" t="s">
        <v>10</v>
      </c>
      <c r="C23" t="s">
        <v>70</v>
      </c>
      <c r="D23" t="s">
        <v>33</v>
      </c>
      <c r="F23">
        <v>4174</v>
      </c>
      <c r="G23">
        <v>2</v>
      </c>
      <c r="H23">
        <v>14</v>
      </c>
      <c r="J23">
        <f t="shared" si="0"/>
        <v>467558</v>
      </c>
      <c r="L23">
        <f t="shared" si="1"/>
        <v>208.73124999999999</v>
      </c>
    </row>
    <row r="24" spans="1:12" x14ac:dyDescent="0.25">
      <c r="A24">
        <v>1718</v>
      </c>
      <c r="B24" t="s">
        <v>11</v>
      </c>
      <c r="C24" t="s">
        <v>70</v>
      </c>
      <c r="D24" t="s">
        <v>33</v>
      </c>
      <c r="F24">
        <v>151</v>
      </c>
      <c r="H24">
        <v>22</v>
      </c>
      <c r="J24">
        <f t="shared" si="0"/>
        <v>16934</v>
      </c>
      <c r="L24">
        <f t="shared" si="1"/>
        <v>7.5598214285714285</v>
      </c>
    </row>
    <row r="25" spans="1:12" x14ac:dyDescent="0.25">
      <c r="A25">
        <v>1718</v>
      </c>
      <c r="B25" t="s">
        <v>41</v>
      </c>
      <c r="C25" t="s">
        <v>70</v>
      </c>
      <c r="D25" t="s">
        <v>33</v>
      </c>
      <c r="H25">
        <v>16</v>
      </c>
      <c r="J25">
        <f t="shared" si="0"/>
        <v>16</v>
      </c>
      <c r="L25">
        <f t="shared" si="1"/>
        <v>7.1428571428571426E-3</v>
      </c>
    </row>
    <row r="26" spans="1:12" x14ac:dyDescent="0.25">
      <c r="A26">
        <v>1718</v>
      </c>
      <c r="B26" t="s">
        <v>82</v>
      </c>
      <c r="C26" t="s">
        <v>70</v>
      </c>
      <c r="D26" t="s">
        <v>33</v>
      </c>
      <c r="H26">
        <v>2188</v>
      </c>
      <c r="J26">
        <f t="shared" si="0"/>
        <v>2188</v>
      </c>
      <c r="L26">
        <f t="shared" si="1"/>
        <v>0.97678571428571426</v>
      </c>
    </row>
    <row r="27" spans="1:12" x14ac:dyDescent="0.25">
      <c r="A27">
        <v>1718</v>
      </c>
      <c r="B27" t="s">
        <v>83</v>
      </c>
      <c r="C27" t="s">
        <v>70</v>
      </c>
      <c r="D27" t="s">
        <v>33</v>
      </c>
      <c r="H27">
        <v>807</v>
      </c>
      <c r="J27">
        <f t="shared" si="0"/>
        <v>807</v>
      </c>
      <c r="L27">
        <f t="shared" si="1"/>
        <v>0.36026785714285714</v>
      </c>
    </row>
    <row r="28" spans="1:12" x14ac:dyDescent="0.25">
      <c r="A28">
        <v>1718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1718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1718</v>
      </c>
      <c r="B30" t="s">
        <v>12</v>
      </c>
      <c r="C30" t="s">
        <v>70</v>
      </c>
      <c r="D30" t="s">
        <v>33</v>
      </c>
      <c r="H30">
        <v>95869</v>
      </c>
      <c r="J30">
        <f t="shared" si="0"/>
        <v>95869</v>
      </c>
      <c r="L30">
        <f t="shared" si="1"/>
        <v>42.798660714285717</v>
      </c>
    </row>
    <row r="31" spans="1:12" x14ac:dyDescent="0.25">
      <c r="A31">
        <v>1718</v>
      </c>
      <c r="B31" t="s">
        <v>111</v>
      </c>
      <c r="C31" t="s">
        <v>70</v>
      </c>
      <c r="D31" t="s">
        <v>33</v>
      </c>
      <c r="H31">
        <v>3391</v>
      </c>
      <c r="J31">
        <f t="shared" si="0"/>
        <v>3391</v>
      </c>
      <c r="L31">
        <f t="shared" si="1"/>
        <v>1.5138392857142857</v>
      </c>
    </row>
    <row r="32" spans="1:12" x14ac:dyDescent="0.25">
      <c r="A32">
        <v>1718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13</v>
      </c>
      <c r="C33" t="s">
        <v>70</v>
      </c>
      <c r="D33" t="s">
        <v>33</v>
      </c>
      <c r="E33">
        <v>32</v>
      </c>
      <c r="F33">
        <v>1</v>
      </c>
      <c r="G33">
        <v>3</v>
      </c>
      <c r="H33">
        <v>14</v>
      </c>
      <c r="J33">
        <f t="shared" si="0"/>
        <v>71890</v>
      </c>
      <c r="L33">
        <f t="shared" si="1"/>
        <v>32.09375</v>
      </c>
    </row>
    <row r="34" spans="1:12" x14ac:dyDescent="0.25">
      <c r="A34">
        <v>1718</v>
      </c>
      <c r="B34" t="s">
        <v>14</v>
      </c>
      <c r="C34" t="s">
        <v>70</v>
      </c>
      <c r="D34" t="s">
        <v>33</v>
      </c>
      <c r="H34">
        <v>30138</v>
      </c>
      <c r="I34" t="s">
        <v>113</v>
      </c>
      <c r="J34">
        <f t="shared" si="0"/>
        <v>30138</v>
      </c>
      <c r="L34">
        <f t="shared" si="1"/>
        <v>13.454464285714286</v>
      </c>
    </row>
    <row r="35" spans="1:12" x14ac:dyDescent="0.25">
      <c r="A35">
        <v>1718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1718</v>
      </c>
      <c r="B36" t="s">
        <v>27</v>
      </c>
      <c r="C36" t="s">
        <v>70</v>
      </c>
      <c r="D36" t="s">
        <v>33</v>
      </c>
      <c r="H36">
        <v>11028</v>
      </c>
      <c r="I36" t="s">
        <v>112</v>
      </c>
      <c r="J36">
        <f t="shared" si="0"/>
        <v>11028</v>
      </c>
      <c r="L36">
        <f t="shared" si="1"/>
        <v>4.9232142857142858</v>
      </c>
    </row>
    <row r="37" spans="1:12" x14ac:dyDescent="0.25">
      <c r="A37">
        <v>1718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1718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1718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1718</v>
      </c>
      <c r="B40" t="s">
        <v>49</v>
      </c>
      <c r="C40" t="s">
        <v>70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1718</v>
      </c>
      <c r="B41" t="s">
        <v>16</v>
      </c>
      <c r="C41" t="s">
        <v>70</v>
      </c>
      <c r="D41" t="s">
        <v>33</v>
      </c>
      <c r="H41">
        <v>116857</v>
      </c>
      <c r="J41">
        <f t="shared" si="0"/>
        <v>116857</v>
      </c>
      <c r="L41">
        <f t="shared" si="1"/>
        <v>52.168303571428574</v>
      </c>
    </row>
    <row r="42" spans="1:12" x14ac:dyDescent="0.25">
      <c r="A42">
        <v>1718</v>
      </c>
      <c r="B42" t="s">
        <v>17</v>
      </c>
      <c r="C42" t="s">
        <v>70</v>
      </c>
      <c r="D42" t="s">
        <v>33</v>
      </c>
      <c r="F42">
        <v>16</v>
      </c>
      <c r="J42">
        <f t="shared" si="0"/>
        <v>1792</v>
      </c>
      <c r="L42">
        <f t="shared" si="1"/>
        <v>0.8</v>
      </c>
    </row>
    <row r="43" spans="1:12" x14ac:dyDescent="0.25">
      <c r="A43">
        <v>1718</v>
      </c>
      <c r="B43" t="s">
        <v>18</v>
      </c>
      <c r="C43" t="s">
        <v>70</v>
      </c>
      <c r="D43" t="s">
        <v>33</v>
      </c>
      <c r="H43">
        <v>134004</v>
      </c>
      <c r="I43" t="s">
        <v>114</v>
      </c>
      <c r="J43">
        <f t="shared" si="0"/>
        <v>134004</v>
      </c>
      <c r="L43">
        <f t="shared" si="1"/>
        <v>59.823214285714286</v>
      </c>
    </row>
    <row r="44" spans="1:12" x14ac:dyDescent="0.25">
      <c r="A44">
        <v>1718</v>
      </c>
      <c r="B44" t="s">
        <v>26</v>
      </c>
      <c r="C44" t="s">
        <v>70</v>
      </c>
      <c r="D44" t="s">
        <v>33</v>
      </c>
      <c r="H44">
        <v>18637</v>
      </c>
      <c r="J44">
        <f t="shared" si="0"/>
        <v>18637</v>
      </c>
      <c r="L44">
        <f t="shared" si="1"/>
        <v>8.3200892857142854</v>
      </c>
    </row>
    <row r="45" spans="1:12" x14ac:dyDescent="0.25">
      <c r="A45">
        <v>1718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1718</v>
      </c>
      <c r="B46" t="s">
        <v>19</v>
      </c>
      <c r="C46" t="s">
        <v>70</v>
      </c>
      <c r="D46" t="s">
        <v>33</v>
      </c>
      <c r="F46">
        <v>36</v>
      </c>
      <c r="H46">
        <v>9</v>
      </c>
      <c r="J46">
        <f t="shared" si="0"/>
        <v>4041</v>
      </c>
      <c r="L46">
        <f t="shared" si="1"/>
        <v>1.8040178571428571</v>
      </c>
    </row>
    <row r="47" spans="1:12" x14ac:dyDescent="0.25">
      <c r="A47">
        <v>1718</v>
      </c>
      <c r="B47" t="s">
        <v>47</v>
      </c>
      <c r="C47" t="s">
        <v>70</v>
      </c>
      <c r="D47" t="s">
        <v>33</v>
      </c>
      <c r="H47">
        <v>8</v>
      </c>
      <c r="J47">
        <f t="shared" si="0"/>
        <v>8</v>
      </c>
      <c r="L47">
        <f t="shared" si="1"/>
        <v>3.5714285714285713E-3</v>
      </c>
    </row>
    <row r="48" spans="1:12" x14ac:dyDescent="0.25">
      <c r="A48">
        <v>1718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56</v>
      </c>
      <c r="C49" t="s">
        <v>70</v>
      </c>
      <c r="D49" t="s">
        <v>33</v>
      </c>
      <c r="H49">
        <v>941</v>
      </c>
      <c r="J49">
        <f t="shared" si="0"/>
        <v>941</v>
      </c>
      <c r="L49">
        <f t="shared" si="1"/>
        <v>0.42008928571428572</v>
      </c>
    </row>
    <row r="50" spans="1:12" x14ac:dyDescent="0.25">
      <c r="A50">
        <v>1718</v>
      </c>
      <c r="B50" t="s">
        <v>102</v>
      </c>
      <c r="C50" t="s">
        <v>70</v>
      </c>
      <c r="D50" t="s">
        <v>33</v>
      </c>
      <c r="H50">
        <v>968</v>
      </c>
      <c r="J50">
        <f t="shared" si="0"/>
        <v>968</v>
      </c>
      <c r="L50">
        <f t="shared" si="1"/>
        <v>0.43214285714285716</v>
      </c>
    </row>
    <row r="51" spans="1:12" x14ac:dyDescent="0.25">
      <c r="A51">
        <v>1718</v>
      </c>
      <c r="B51" t="s">
        <v>20</v>
      </c>
      <c r="C51" t="s">
        <v>70</v>
      </c>
      <c r="D51" t="s">
        <v>33</v>
      </c>
      <c r="H51">
        <v>6</v>
      </c>
      <c r="J51">
        <f t="shared" si="0"/>
        <v>6</v>
      </c>
      <c r="L51">
        <f t="shared" si="1"/>
        <v>2.6785714285714286E-3</v>
      </c>
    </row>
    <row r="52" spans="1:12" x14ac:dyDescent="0.25">
      <c r="A52">
        <v>1718</v>
      </c>
      <c r="B52" t="s">
        <v>21</v>
      </c>
      <c r="C52" t="s">
        <v>70</v>
      </c>
      <c r="D52" t="s">
        <v>33</v>
      </c>
      <c r="H52">
        <v>6629</v>
      </c>
      <c r="J52">
        <f t="shared" si="0"/>
        <v>6629</v>
      </c>
      <c r="L52">
        <f t="shared" si="1"/>
        <v>2.9593750000000001</v>
      </c>
    </row>
    <row r="53" spans="1:12" x14ac:dyDescent="0.25">
      <c r="A53">
        <v>1718</v>
      </c>
      <c r="B53" t="s">
        <v>22</v>
      </c>
      <c r="C53" t="s">
        <v>70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1718</v>
      </c>
      <c r="B54" t="s">
        <v>63</v>
      </c>
      <c r="C54" t="s">
        <v>70</v>
      </c>
      <c r="D54" t="s">
        <v>33</v>
      </c>
      <c r="E54">
        <v>5</v>
      </c>
      <c r="F54">
        <v>15</v>
      </c>
      <c r="G54">
        <v>1</v>
      </c>
      <c r="J54">
        <f t="shared" si="0"/>
        <v>12908</v>
      </c>
      <c r="L54">
        <f t="shared" si="1"/>
        <v>5.7625000000000002</v>
      </c>
    </row>
    <row r="55" spans="1:12" x14ac:dyDescent="0.25">
      <c r="A55">
        <v>1718</v>
      </c>
      <c r="B55" t="s">
        <v>105</v>
      </c>
      <c r="C55" t="s">
        <v>70</v>
      </c>
      <c r="D55" t="s">
        <v>33</v>
      </c>
      <c r="E55">
        <v>1</v>
      </c>
      <c r="F55">
        <v>4</v>
      </c>
      <c r="G55">
        <v>2</v>
      </c>
      <c r="J55">
        <f t="shared" si="0"/>
        <v>2744</v>
      </c>
      <c r="L55">
        <f t="shared" si="1"/>
        <v>1.2250000000000001</v>
      </c>
    </row>
    <row r="56" spans="1:12" x14ac:dyDescent="0.25">
      <c r="A56">
        <v>1718</v>
      </c>
      <c r="B56" t="s">
        <v>91</v>
      </c>
      <c r="C56" t="s">
        <v>70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1718</v>
      </c>
      <c r="B57" t="s">
        <v>64</v>
      </c>
      <c r="C57" t="s">
        <v>70</v>
      </c>
      <c r="D57" t="s">
        <v>33</v>
      </c>
      <c r="E57">
        <v>267</v>
      </c>
      <c r="F57">
        <v>8</v>
      </c>
      <c r="G57">
        <v>3</v>
      </c>
      <c r="H57">
        <v>25</v>
      </c>
      <c r="J57">
        <f t="shared" si="0"/>
        <v>599085</v>
      </c>
      <c r="L57">
        <f t="shared" si="1"/>
        <v>267.44866071428572</v>
      </c>
    </row>
    <row r="58" spans="1:12" x14ac:dyDescent="0.25">
      <c r="A58">
        <v>1718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1718</v>
      </c>
      <c r="B59" t="s">
        <v>65</v>
      </c>
      <c r="C59" t="s">
        <v>70</v>
      </c>
      <c r="D59" t="s">
        <v>33</v>
      </c>
      <c r="E59">
        <v>474</v>
      </c>
      <c r="F59">
        <v>7</v>
      </c>
      <c r="H59">
        <v>23</v>
      </c>
      <c r="J59">
        <f t="shared" si="0"/>
        <v>1062567</v>
      </c>
      <c r="L59">
        <f t="shared" si="1"/>
        <v>474.36026785714284</v>
      </c>
    </row>
    <row r="60" spans="1:12" x14ac:dyDescent="0.25">
      <c r="A60">
        <v>1718</v>
      </c>
      <c r="B60" t="s">
        <v>93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1718</v>
      </c>
      <c r="B61" t="s">
        <v>73</v>
      </c>
      <c r="C61" t="s">
        <v>70</v>
      </c>
      <c r="D61" t="s">
        <v>33</v>
      </c>
      <c r="E61">
        <v>276</v>
      </c>
      <c r="F61">
        <v>3</v>
      </c>
      <c r="G61">
        <v>1</v>
      </c>
      <c r="H61">
        <v>6</v>
      </c>
      <c r="J61">
        <f t="shared" si="0"/>
        <v>618610</v>
      </c>
      <c r="L61">
        <f t="shared" si="1"/>
        <v>276.16517857142856</v>
      </c>
    </row>
    <row r="62" spans="1:12" x14ac:dyDescent="0.25">
      <c r="A62">
        <v>1718</v>
      </c>
      <c r="B62" t="s">
        <v>66</v>
      </c>
      <c r="C62" t="s">
        <v>70</v>
      </c>
      <c r="D62" t="s">
        <v>33</v>
      </c>
      <c r="E62">
        <v>4</v>
      </c>
      <c r="J62">
        <f t="shared" si="0"/>
        <v>8960</v>
      </c>
      <c r="L62">
        <f t="shared" si="1"/>
        <v>4</v>
      </c>
    </row>
    <row r="63" spans="1:12" x14ac:dyDescent="0.25">
      <c r="A63">
        <v>1718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1718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1718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1718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1718</v>
      </c>
      <c r="B67" t="s">
        <v>4</v>
      </c>
      <c r="C67" t="s">
        <v>70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1718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1718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1718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1718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1718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1718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1718</v>
      </c>
      <c r="B74" t="s">
        <v>6</v>
      </c>
      <c r="C74" t="s">
        <v>70</v>
      </c>
      <c r="D74" t="s">
        <v>35</v>
      </c>
      <c r="F74">
        <v>76337</v>
      </c>
      <c r="G74">
        <v>1</v>
      </c>
      <c r="H74">
        <v>18</v>
      </c>
      <c r="J74">
        <f t="shared" si="2"/>
        <v>8549790</v>
      </c>
      <c r="L74">
        <f t="shared" si="3"/>
        <v>3816.8705357142858</v>
      </c>
    </row>
    <row r="75" spans="1:12" x14ac:dyDescent="0.25">
      <c r="A75">
        <v>1718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1718</v>
      </c>
      <c r="B76" t="s">
        <v>40</v>
      </c>
      <c r="C76" t="s">
        <v>70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1718</v>
      </c>
      <c r="B77" t="s">
        <v>39</v>
      </c>
      <c r="C77" t="s">
        <v>70</v>
      </c>
      <c r="D77" t="s">
        <v>35</v>
      </c>
      <c r="H77">
        <v>2175</v>
      </c>
      <c r="J77">
        <f t="shared" si="2"/>
        <v>2175</v>
      </c>
      <c r="L77">
        <f t="shared" si="3"/>
        <v>0.9709821428571429</v>
      </c>
    </row>
    <row r="78" spans="1:12" x14ac:dyDescent="0.25">
      <c r="A78">
        <v>1718</v>
      </c>
      <c r="B78" t="s">
        <v>8</v>
      </c>
      <c r="C78" t="s">
        <v>70</v>
      </c>
      <c r="D78" t="s">
        <v>35</v>
      </c>
      <c r="F78">
        <v>1</v>
      </c>
      <c r="H78">
        <v>10</v>
      </c>
      <c r="J78">
        <f t="shared" si="2"/>
        <v>122</v>
      </c>
      <c r="L78">
        <f t="shared" si="3"/>
        <v>5.4464285714285715E-2</v>
      </c>
    </row>
    <row r="79" spans="1:12" x14ac:dyDescent="0.25">
      <c r="A79">
        <v>1718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1718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1718</v>
      </c>
      <c r="B81" t="s">
        <v>81</v>
      </c>
      <c r="C81" t="s">
        <v>70</v>
      </c>
      <c r="D81" t="s">
        <v>35</v>
      </c>
      <c r="H81">
        <v>6074</v>
      </c>
      <c r="J81">
        <f t="shared" si="2"/>
        <v>6074</v>
      </c>
      <c r="L81">
        <f t="shared" si="3"/>
        <v>2.7116071428571429</v>
      </c>
    </row>
    <row r="82" spans="1:12" x14ac:dyDescent="0.25">
      <c r="A82">
        <v>1718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1718</v>
      </c>
      <c r="B83" t="s">
        <v>9</v>
      </c>
      <c r="C83" t="s">
        <v>70</v>
      </c>
      <c r="D83" t="s">
        <v>35</v>
      </c>
      <c r="H83">
        <v>240530</v>
      </c>
      <c r="J83">
        <f t="shared" si="2"/>
        <v>240530</v>
      </c>
      <c r="L83">
        <f t="shared" si="3"/>
        <v>107.37946428571429</v>
      </c>
    </row>
    <row r="84" spans="1:12" x14ac:dyDescent="0.25">
      <c r="A84">
        <v>1718</v>
      </c>
      <c r="B84" t="s">
        <v>10</v>
      </c>
      <c r="C84" t="s">
        <v>70</v>
      </c>
      <c r="D84" t="s">
        <v>35</v>
      </c>
      <c r="F84">
        <v>1612</v>
      </c>
      <c r="H84">
        <v>9</v>
      </c>
      <c r="J84">
        <f t="shared" si="2"/>
        <v>180553</v>
      </c>
      <c r="L84">
        <f t="shared" si="3"/>
        <v>80.604017857142864</v>
      </c>
    </row>
    <row r="85" spans="1:12" x14ac:dyDescent="0.25">
      <c r="A85">
        <v>1718</v>
      </c>
      <c r="B85" t="s">
        <v>11</v>
      </c>
      <c r="C85" t="s">
        <v>70</v>
      </c>
      <c r="D85" t="s">
        <v>35</v>
      </c>
      <c r="F85">
        <v>101</v>
      </c>
      <c r="G85">
        <v>3</v>
      </c>
      <c r="H85">
        <v>22</v>
      </c>
      <c r="J85">
        <f t="shared" si="2"/>
        <v>11418</v>
      </c>
      <c r="L85">
        <f t="shared" si="3"/>
        <v>5.097321428571429</v>
      </c>
    </row>
    <row r="86" spans="1:12" x14ac:dyDescent="0.25">
      <c r="A86">
        <v>1718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1718</v>
      </c>
      <c r="B87" t="s">
        <v>82</v>
      </c>
      <c r="C87" t="s">
        <v>70</v>
      </c>
      <c r="D87" t="s">
        <v>35</v>
      </c>
      <c r="H87">
        <v>5376</v>
      </c>
      <c r="J87">
        <f t="shared" si="2"/>
        <v>5376</v>
      </c>
      <c r="L87">
        <f t="shared" si="3"/>
        <v>2.4</v>
      </c>
    </row>
    <row r="88" spans="1:12" x14ac:dyDescent="0.25">
      <c r="A88">
        <v>1718</v>
      </c>
      <c r="B88" t="s">
        <v>83</v>
      </c>
      <c r="C88" t="s">
        <v>70</v>
      </c>
      <c r="D88" t="s">
        <v>35</v>
      </c>
      <c r="H88">
        <v>200</v>
      </c>
      <c r="J88">
        <f t="shared" si="2"/>
        <v>200</v>
      </c>
      <c r="L88">
        <f t="shared" si="3"/>
        <v>8.9285714285714288E-2</v>
      </c>
    </row>
    <row r="89" spans="1:12" x14ac:dyDescent="0.25">
      <c r="A89">
        <v>1718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1718</v>
      </c>
      <c r="B90" t="s">
        <v>104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1718</v>
      </c>
      <c r="B91" t="s">
        <v>12</v>
      </c>
      <c r="C91" t="s">
        <v>70</v>
      </c>
      <c r="D91" t="s">
        <v>35</v>
      </c>
      <c r="H91">
        <v>97701</v>
      </c>
      <c r="J91">
        <f t="shared" si="2"/>
        <v>97701</v>
      </c>
      <c r="L91">
        <f t="shared" si="3"/>
        <v>43.61651785714286</v>
      </c>
    </row>
    <row r="92" spans="1:12" x14ac:dyDescent="0.25">
      <c r="A92">
        <v>1718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1718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1718</v>
      </c>
      <c r="B94" t="s">
        <v>13</v>
      </c>
      <c r="C94" t="s">
        <v>70</v>
      </c>
      <c r="D94" t="s">
        <v>35</v>
      </c>
      <c r="E94">
        <v>9</v>
      </c>
      <c r="F94">
        <v>9</v>
      </c>
      <c r="G94">
        <v>1</v>
      </c>
      <c r="H94">
        <v>24</v>
      </c>
      <c r="J94">
        <f t="shared" si="2"/>
        <v>21220</v>
      </c>
      <c r="L94">
        <f t="shared" si="3"/>
        <v>9.4732142857142865</v>
      </c>
    </row>
    <row r="95" spans="1:12" x14ac:dyDescent="0.25">
      <c r="A95">
        <v>1718</v>
      </c>
      <c r="B95" t="s">
        <v>14</v>
      </c>
      <c r="C95" t="s">
        <v>70</v>
      </c>
      <c r="D95" t="s">
        <v>35</v>
      </c>
      <c r="H95">
        <v>33288.5</v>
      </c>
      <c r="I95" t="s">
        <v>126</v>
      </c>
      <c r="J95">
        <f t="shared" si="2"/>
        <v>33288.5</v>
      </c>
      <c r="L95">
        <f t="shared" si="3"/>
        <v>14.8609375</v>
      </c>
    </row>
    <row r="96" spans="1:12" x14ac:dyDescent="0.25">
      <c r="A96">
        <v>1718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1718</v>
      </c>
      <c r="B97" t="s">
        <v>27</v>
      </c>
      <c r="C97" t="s">
        <v>70</v>
      </c>
      <c r="D97" t="s">
        <v>35</v>
      </c>
      <c r="H97">
        <v>4441.5</v>
      </c>
      <c r="I97" t="s">
        <v>125</v>
      </c>
      <c r="J97">
        <f t="shared" si="2"/>
        <v>4441.5</v>
      </c>
      <c r="L97">
        <f t="shared" si="3"/>
        <v>1.9828125000000001</v>
      </c>
    </row>
    <row r="98" spans="1:12" x14ac:dyDescent="0.25">
      <c r="A98">
        <v>1718</v>
      </c>
      <c r="B98" t="s">
        <v>15</v>
      </c>
      <c r="C98" t="s">
        <v>70</v>
      </c>
      <c r="D98" t="s">
        <v>35</v>
      </c>
      <c r="F98">
        <v>55</v>
      </c>
      <c r="G98">
        <v>3</v>
      </c>
      <c r="H98">
        <v>27</v>
      </c>
      <c r="J98">
        <f t="shared" si="2"/>
        <v>6271</v>
      </c>
      <c r="L98">
        <f t="shared" si="3"/>
        <v>2.7995535714285715</v>
      </c>
    </row>
    <row r="99" spans="1:12" x14ac:dyDescent="0.25">
      <c r="A99">
        <v>1718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1718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1718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1718</v>
      </c>
      <c r="B102" t="s">
        <v>49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1718</v>
      </c>
      <c r="B103" t="s">
        <v>16</v>
      </c>
      <c r="C103" t="s">
        <v>70</v>
      </c>
      <c r="D103" t="s">
        <v>35</v>
      </c>
      <c r="H103">
        <v>80460</v>
      </c>
      <c r="J103">
        <f t="shared" si="2"/>
        <v>80460</v>
      </c>
      <c r="L103">
        <f t="shared" si="3"/>
        <v>35.919642857142854</v>
      </c>
    </row>
    <row r="104" spans="1:12" x14ac:dyDescent="0.25">
      <c r="A104">
        <v>1718</v>
      </c>
      <c r="B104" t="s">
        <v>17</v>
      </c>
      <c r="C104" t="s">
        <v>70</v>
      </c>
      <c r="D104" t="s">
        <v>35</v>
      </c>
      <c r="F104">
        <v>38</v>
      </c>
      <c r="H104">
        <v>7</v>
      </c>
      <c r="J104">
        <f t="shared" si="2"/>
        <v>4263</v>
      </c>
      <c r="L104">
        <f t="shared" si="3"/>
        <v>1.903125</v>
      </c>
    </row>
    <row r="105" spans="1:12" x14ac:dyDescent="0.25">
      <c r="A105">
        <v>1718</v>
      </c>
      <c r="B105" t="s">
        <v>18</v>
      </c>
      <c r="C105" t="s">
        <v>70</v>
      </c>
      <c r="D105" t="s">
        <v>35</v>
      </c>
      <c r="H105">
        <v>24536</v>
      </c>
      <c r="I105" t="s">
        <v>127</v>
      </c>
      <c r="J105">
        <f t="shared" si="2"/>
        <v>24536</v>
      </c>
      <c r="L105">
        <f t="shared" si="3"/>
        <v>10.953571428571429</v>
      </c>
    </row>
    <row r="106" spans="1:12" x14ac:dyDescent="0.25">
      <c r="A106">
        <v>1718</v>
      </c>
      <c r="B106" t="s">
        <v>26</v>
      </c>
      <c r="C106" t="s">
        <v>70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1718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1718</v>
      </c>
      <c r="B108" t="s">
        <v>19</v>
      </c>
      <c r="C108" t="s">
        <v>70</v>
      </c>
      <c r="D108" t="s">
        <v>35</v>
      </c>
      <c r="F108">
        <v>2</v>
      </c>
      <c r="G108">
        <v>2</v>
      </c>
      <c r="H108">
        <v>10</v>
      </c>
      <c r="J108">
        <f t="shared" si="2"/>
        <v>290</v>
      </c>
      <c r="L108">
        <f t="shared" si="3"/>
        <v>0.12946428571428573</v>
      </c>
    </row>
    <row r="109" spans="1:12" x14ac:dyDescent="0.25">
      <c r="A109">
        <v>1718</v>
      </c>
      <c r="B109" t="s">
        <v>47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1718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1718</v>
      </c>
      <c r="B111" t="s">
        <v>56</v>
      </c>
      <c r="C111" t="s">
        <v>70</v>
      </c>
      <c r="D111" t="s">
        <v>35</v>
      </c>
      <c r="H111">
        <v>60</v>
      </c>
      <c r="J111">
        <f t="shared" si="2"/>
        <v>60</v>
      </c>
      <c r="L111">
        <f t="shared" si="3"/>
        <v>2.6785714285714284E-2</v>
      </c>
    </row>
    <row r="112" spans="1:12" x14ac:dyDescent="0.25">
      <c r="A112">
        <v>1718</v>
      </c>
      <c r="B112" t="s">
        <v>102</v>
      </c>
      <c r="C112" t="s">
        <v>70</v>
      </c>
      <c r="D112" t="s">
        <v>35</v>
      </c>
      <c r="H112">
        <v>68</v>
      </c>
      <c r="J112">
        <f t="shared" si="2"/>
        <v>68</v>
      </c>
      <c r="L112">
        <f t="shared" si="3"/>
        <v>3.0357142857142857E-2</v>
      </c>
    </row>
    <row r="113" spans="1:12" x14ac:dyDescent="0.25">
      <c r="A113">
        <v>1718</v>
      </c>
      <c r="B113" t="s">
        <v>20</v>
      </c>
      <c r="C113" t="s">
        <v>70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1718</v>
      </c>
      <c r="B114" t="s">
        <v>21</v>
      </c>
      <c r="C114" t="s">
        <v>70</v>
      </c>
      <c r="D114" t="s">
        <v>35</v>
      </c>
      <c r="H114">
        <v>1173</v>
      </c>
      <c r="J114">
        <f t="shared" si="2"/>
        <v>1173</v>
      </c>
      <c r="L114">
        <f t="shared" si="3"/>
        <v>0.52366071428571426</v>
      </c>
    </row>
    <row r="115" spans="1:12" x14ac:dyDescent="0.25">
      <c r="A115">
        <v>1718</v>
      </c>
      <c r="B115" t="s">
        <v>22</v>
      </c>
      <c r="C115" t="s">
        <v>70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1718</v>
      </c>
      <c r="B116" t="s">
        <v>63</v>
      </c>
      <c r="C116" t="s">
        <v>70</v>
      </c>
      <c r="D116" t="s">
        <v>35</v>
      </c>
      <c r="E116">
        <v>18</v>
      </c>
      <c r="F116">
        <v>7</v>
      </c>
      <c r="G116">
        <v>1</v>
      </c>
      <c r="H116">
        <v>16</v>
      </c>
      <c r="J116">
        <f t="shared" si="2"/>
        <v>41148</v>
      </c>
      <c r="L116">
        <f t="shared" si="3"/>
        <v>18.369642857142857</v>
      </c>
    </row>
    <row r="117" spans="1:12" x14ac:dyDescent="0.25">
      <c r="A117">
        <v>1718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1718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1718</v>
      </c>
      <c r="B119" t="s">
        <v>91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1718</v>
      </c>
      <c r="B120" t="s">
        <v>64</v>
      </c>
      <c r="C120" t="s">
        <v>70</v>
      </c>
      <c r="D120" t="s">
        <v>35</v>
      </c>
      <c r="E120">
        <v>233</v>
      </c>
      <c r="F120">
        <v>7</v>
      </c>
      <c r="G120">
        <v>3</v>
      </c>
      <c r="H120">
        <v>2</v>
      </c>
      <c r="J120">
        <f t="shared" si="2"/>
        <v>522790</v>
      </c>
      <c r="L120">
        <f t="shared" si="3"/>
        <v>233.38839285714286</v>
      </c>
    </row>
    <row r="121" spans="1:12" x14ac:dyDescent="0.25">
      <c r="A121">
        <v>1718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1718</v>
      </c>
      <c r="B122" t="s">
        <v>65</v>
      </c>
      <c r="C122" t="s">
        <v>70</v>
      </c>
      <c r="D122" t="s">
        <v>35</v>
      </c>
      <c r="E122">
        <v>171</v>
      </c>
      <c r="F122">
        <v>17</v>
      </c>
      <c r="H122">
        <v>7</v>
      </c>
      <c r="J122">
        <f t="shared" si="2"/>
        <v>384951</v>
      </c>
      <c r="L122">
        <f t="shared" si="3"/>
        <v>171.85312500000001</v>
      </c>
    </row>
    <row r="123" spans="1:12" x14ac:dyDescent="0.25">
      <c r="A123">
        <v>1718</v>
      </c>
      <c r="B123" t="s">
        <v>93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1718</v>
      </c>
      <c r="B124" t="s">
        <v>73</v>
      </c>
      <c r="C124" t="s">
        <v>70</v>
      </c>
      <c r="D124" t="s">
        <v>35</v>
      </c>
      <c r="E124">
        <v>61</v>
      </c>
      <c r="F124">
        <v>16</v>
      </c>
      <c r="G124">
        <v>2</v>
      </c>
      <c r="H124">
        <v>19</v>
      </c>
      <c r="J124">
        <f t="shared" si="2"/>
        <v>138507</v>
      </c>
      <c r="L124">
        <f t="shared" si="3"/>
        <v>61.833482142857143</v>
      </c>
    </row>
    <row r="125" spans="1:12" x14ac:dyDescent="0.25">
      <c r="A125">
        <v>1718</v>
      </c>
      <c r="B125" t="s">
        <v>66</v>
      </c>
      <c r="C125" t="s">
        <v>70</v>
      </c>
      <c r="D125" t="s">
        <v>35</v>
      </c>
      <c r="E125">
        <v>29</v>
      </c>
      <c r="F125">
        <v>10</v>
      </c>
      <c r="G125">
        <v>2</v>
      </c>
      <c r="H125">
        <v>4</v>
      </c>
      <c r="J125">
        <f t="shared" si="2"/>
        <v>66140</v>
      </c>
      <c r="L125">
        <f t="shared" si="3"/>
        <v>29.526785714285715</v>
      </c>
    </row>
    <row r="126" spans="1:12" x14ac:dyDescent="0.25">
      <c r="A126">
        <v>1718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46" workbookViewId="0">
      <selection activeCell="H36" sqref="H3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1718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1718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1718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1718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1718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1718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1718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1718</v>
      </c>
      <c r="B11" t="s">
        <v>6</v>
      </c>
      <c r="C11" t="s">
        <v>75</v>
      </c>
      <c r="D11" t="s">
        <v>33</v>
      </c>
      <c r="F11">
        <v>13744</v>
      </c>
      <c r="G11">
        <v>1</v>
      </c>
      <c r="J11">
        <f t="shared" si="0"/>
        <v>1539356</v>
      </c>
      <c r="L11">
        <f t="shared" si="1"/>
        <v>687.21249999999998</v>
      </c>
    </row>
    <row r="12" spans="1:12" x14ac:dyDescent="0.25">
      <c r="A12">
        <v>1718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1718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1718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1718</v>
      </c>
      <c r="B15" t="s">
        <v>8</v>
      </c>
      <c r="C15" t="s">
        <v>75</v>
      </c>
      <c r="D15" t="s">
        <v>33</v>
      </c>
      <c r="F15">
        <v>4</v>
      </c>
      <c r="J15">
        <f t="shared" si="0"/>
        <v>448</v>
      </c>
      <c r="L15">
        <f t="shared" si="1"/>
        <v>0.2</v>
      </c>
    </row>
    <row r="16" spans="1:12" x14ac:dyDescent="0.25">
      <c r="A16">
        <v>1718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1718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1718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1718</v>
      </c>
      <c r="B19" t="s">
        <v>9</v>
      </c>
      <c r="C19" t="s">
        <v>75</v>
      </c>
      <c r="D19" t="s">
        <v>33</v>
      </c>
      <c r="H19">
        <v>3000</v>
      </c>
      <c r="J19">
        <f t="shared" si="0"/>
        <v>3000</v>
      </c>
      <c r="L19">
        <f t="shared" si="1"/>
        <v>1.3392857142857142</v>
      </c>
    </row>
    <row r="20" spans="1:12" x14ac:dyDescent="0.25">
      <c r="A20">
        <v>1718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1718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1718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1718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1718</v>
      </c>
      <c r="B24" t="s">
        <v>12</v>
      </c>
      <c r="C24" t="s">
        <v>75</v>
      </c>
      <c r="D24" t="s">
        <v>33</v>
      </c>
      <c r="H24">
        <v>4821</v>
      </c>
      <c r="J24">
        <f t="shared" si="0"/>
        <v>4821</v>
      </c>
      <c r="L24">
        <f t="shared" si="1"/>
        <v>2.1522321428571427</v>
      </c>
    </row>
    <row r="25" spans="1:12" x14ac:dyDescent="0.25">
      <c r="A25">
        <v>1718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1718</v>
      </c>
      <c r="B26" t="s">
        <v>13</v>
      </c>
      <c r="C26" t="s">
        <v>75</v>
      </c>
      <c r="D26" t="s">
        <v>33</v>
      </c>
      <c r="E26">
        <v>3</v>
      </c>
      <c r="F26">
        <v>3</v>
      </c>
      <c r="G26">
        <v>1</v>
      </c>
      <c r="J26">
        <f t="shared" si="0"/>
        <v>7084</v>
      </c>
      <c r="L26">
        <f t="shared" si="1"/>
        <v>3.1625000000000001</v>
      </c>
    </row>
    <row r="27" spans="1:12" x14ac:dyDescent="0.25">
      <c r="A27">
        <v>1718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1718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1718</v>
      </c>
      <c r="B29" t="s">
        <v>27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1718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1718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1718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16</v>
      </c>
      <c r="C33" t="s">
        <v>75</v>
      </c>
      <c r="D33" t="s">
        <v>33</v>
      </c>
      <c r="H33">
        <v>1000</v>
      </c>
      <c r="J33">
        <f t="shared" si="0"/>
        <v>1000</v>
      </c>
      <c r="L33">
        <f t="shared" si="1"/>
        <v>0.44642857142857145</v>
      </c>
    </row>
    <row r="34" spans="1:12" x14ac:dyDescent="0.25">
      <c r="A34">
        <v>1718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1718</v>
      </c>
      <c r="B35" t="s">
        <v>18</v>
      </c>
      <c r="C35" t="s">
        <v>75</v>
      </c>
      <c r="D35" t="s">
        <v>33</v>
      </c>
      <c r="H35">
        <v>29177.5</v>
      </c>
      <c r="I35" t="s">
        <v>115</v>
      </c>
      <c r="J35">
        <f t="shared" si="0"/>
        <v>29177.5</v>
      </c>
      <c r="L35">
        <f t="shared" si="1"/>
        <v>13.025669642857142</v>
      </c>
    </row>
    <row r="36" spans="1:12" x14ac:dyDescent="0.25">
      <c r="A36">
        <v>1718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1718</v>
      </c>
      <c r="B37" t="s">
        <v>19</v>
      </c>
      <c r="C37" t="s">
        <v>75</v>
      </c>
      <c r="D37" t="s">
        <v>33</v>
      </c>
      <c r="F37">
        <v>4</v>
      </c>
      <c r="G37">
        <v>2</v>
      </c>
      <c r="J37">
        <f t="shared" si="0"/>
        <v>504</v>
      </c>
      <c r="L37">
        <f t="shared" si="1"/>
        <v>0.22500000000000001</v>
      </c>
    </row>
    <row r="38" spans="1:12" x14ac:dyDescent="0.25">
      <c r="A38">
        <v>1718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1718</v>
      </c>
      <c r="B39" t="s">
        <v>56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1718</v>
      </c>
      <c r="B40" t="s">
        <v>102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1718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1718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1718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1718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1718</v>
      </c>
      <c r="B45" t="s">
        <v>64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1718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1718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1718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1718</v>
      </c>
      <c r="B50" t="s">
        <v>6</v>
      </c>
      <c r="C50" t="s">
        <v>75</v>
      </c>
      <c r="D50" t="s">
        <v>35</v>
      </c>
      <c r="F50">
        <v>7822</v>
      </c>
      <c r="G50">
        <v>3</v>
      </c>
      <c r="H50">
        <v>19</v>
      </c>
      <c r="J50">
        <f t="shared" si="0"/>
        <v>876167</v>
      </c>
      <c r="L50">
        <f t="shared" si="1"/>
        <v>391.14598214285712</v>
      </c>
    </row>
    <row r="51" spans="1:12" x14ac:dyDescent="0.25">
      <c r="A51">
        <v>1718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1718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1718</v>
      </c>
      <c r="B53" t="s">
        <v>9</v>
      </c>
      <c r="C53" t="s">
        <v>75</v>
      </c>
      <c r="D53" t="s">
        <v>35</v>
      </c>
      <c r="H53">
        <v>5250</v>
      </c>
      <c r="J53">
        <f t="shared" si="0"/>
        <v>5250</v>
      </c>
      <c r="L53">
        <f t="shared" si="1"/>
        <v>2.34375</v>
      </c>
    </row>
    <row r="54" spans="1:12" x14ac:dyDescent="0.25">
      <c r="A54">
        <v>1718</v>
      </c>
      <c r="B54" t="s">
        <v>10</v>
      </c>
      <c r="C54" t="s">
        <v>75</v>
      </c>
      <c r="D54" t="s">
        <v>35</v>
      </c>
      <c r="F54">
        <v>7</v>
      </c>
      <c r="J54">
        <f t="shared" si="0"/>
        <v>784</v>
      </c>
      <c r="L54">
        <f t="shared" si="1"/>
        <v>0.35</v>
      </c>
    </row>
    <row r="55" spans="1:12" x14ac:dyDescent="0.25">
      <c r="A55">
        <v>1718</v>
      </c>
      <c r="B55" t="s">
        <v>11</v>
      </c>
      <c r="C55" t="s">
        <v>75</v>
      </c>
      <c r="D55" t="s">
        <v>35</v>
      </c>
      <c r="F55">
        <v>5</v>
      </c>
      <c r="G55">
        <v>1</v>
      </c>
      <c r="H55">
        <v>2</v>
      </c>
      <c r="J55">
        <f t="shared" si="0"/>
        <v>590</v>
      </c>
      <c r="L55">
        <f t="shared" si="1"/>
        <v>0.26339285714285715</v>
      </c>
    </row>
    <row r="56" spans="1:12" x14ac:dyDescent="0.25">
      <c r="A56">
        <v>1718</v>
      </c>
      <c r="B56" t="s">
        <v>12</v>
      </c>
      <c r="C56" t="s">
        <v>75</v>
      </c>
      <c r="D56" t="s">
        <v>35</v>
      </c>
      <c r="H56">
        <v>6378</v>
      </c>
      <c r="J56">
        <f t="shared" si="0"/>
        <v>6378</v>
      </c>
      <c r="L56">
        <f t="shared" si="1"/>
        <v>2.8473214285714286</v>
      </c>
    </row>
    <row r="57" spans="1:12" x14ac:dyDescent="0.25">
      <c r="A57">
        <v>1718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1718</v>
      </c>
      <c r="B58" t="s">
        <v>14</v>
      </c>
      <c r="C58" t="s">
        <v>75</v>
      </c>
      <c r="D58" t="s">
        <v>35</v>
      </c>
      <c r="H58">
        <v>600</v>
      </c>
      <c r="I58" t="s">
        <v>129</v>
      </c>
      <c r="J58">
        <f t="shared" si="0"/>
        <v>600</v>
      </c>
      <c r="L58">
        <f t="shared" si="1"/>
        <v>0.26785714285714285</v>
      </c>
    </row>
    <row r="59" spans="1:12" x14ac:dyDescent="0.25">
      <c r="A59">
        <v>1718</v>
      </c>
      <c r="B59" t="s">
        <v>27</v>
      </c>
      <c r="C59" t="s">
        <v>75</v>
      </c>
      <c r="D59" t="s">
        <v>35</v>
      </c>
      <c r="H59">
        <v>680</v>
      </c>
      <c r="I59" t="s">
        <v>128</v>
      </c>
      <c r="J59">
        <f t="shared" si="0"/>
        <v>680</v>
      </c>
      <c r="L59">
        <f t="shared" si="1"/>
        <v>0.30357142857142855</v>
      </c>
    </row>
    <row r="60" spans="1:12" x14ac:dyDescent="0.25">
      <c r="A60">
        <v>1718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1718</v>
      </c>
      <c r="B61" t="s">
        <v>16</v>
      </c>
      <c r="C61" t="s">
        <v>75</v>
      </c>
      <c r="D61" t="s">
        <v>35</v>
      </c>
      <c r="H61">
        <v>2029</v>
      </c>
      <c r="J61">
        <f t="shared" si="0"/>
        <v>2029</v>
      </c>
      <c r="L61">
        <f t="shared" si="1"/>
        <v>0.90580357142857137</v>
      </c>
    </row>
    <row r="62" spans="1:12" x14ac:dyDescent="0.25">
      <c r="A62">
        <v>1718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1718</v>
      </c>
      <c r="B63" t="s">
        <v>18</v>
      </c>
      <c r="C63" t="s">
        <v>75</v>
      </c>
      <c r="D63" t="s">
        <v>35</v>
      </c>
      <c r="H63">
        <v>3687.5</v>
      </c>
      <c r="I63" t="s">
        <v>130</v>
      </c>
      <c r="J63">
        <f t="shared" si="0"/>
        <v>3687.5</v>
      </c>
      <c r="L63">
        <f t="shared" si="1"/>
        <v>1.6462053571428572</v>
      </c>
    </row>
    <row r="64" spans="1:12" x14ac:dyDescent="0.25">
      <c r="A64">
        <v>1718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1718</v>
      </c>
      <c r="B65" t="s">
        <v>56</v>
      </c>
      <c r="C65" t="s">
        <v>75</v>
      </c>
      <c r="D65" t="s">
        <v>35</v>
      </c>
      <c r="H65">
        <v>32</v>
      </c>
      <c r="J65">
        <f t="shared" si="0"/>
        <v>32</v>
      </c>
      <c r="L65">
        <f t="shared" si="1"/>
        <v>1.4285714285714285E-2</v>
      </c>
    </row>
    <row r="66" spans="1:12" x14ac:dyDescent="0.25">
      <c r="A66">
        <v>1718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1718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1718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1718</v>
      </c>
      <c r="B69" t="s">
        <v>66</v>
      </c>
      <c r="C69" t="s">
        <v>75</v>
      </c>
      <c r="D69" t="s">
        <v>35</v>
      </c>
      <c r="F69">
        <v>16</v>
      </c>
      <c r="G69">
        <v>2</v>
      </c>
      <c r="H69">
        <v>25</v>
      </c>
      <c r="J69">
        <f t="shared" si="2"/>
        <v>1873</v>
      </c>
      <c r="L69">
        <f t="shared" si="3"/>
        <v>0.83616071428571426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workbookViewId="0">
      <selection activeCell="I37" sqref="I3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1718</v>
      </c>
      <c r="B3" t="s">
        <v>59</v>
      </c>
      <c r="C3" t="s">
        <v>76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1718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1718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1718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1718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1718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1718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1718</v>
      </c>
      <c r="B11" t="s">
        <v>6</v>
      </c>
      <c r="C11" t="s">
        <v>76</v>
      </c>
      <c r="D11" t="s">
        <v>33</v>
      </c>
      <c r="F11">
        <v>11736</v>
      </c>
      <c r="H11">
        <v>26</v>
      </c>
      <c r="J11">
        <f t="shared" si="0"/>
        <v>1314458</v>
      </c>
      <c r="L11">
        <f t="shared" si="1"/>
        <v>586.81160714285716</v>
      </c>
    </row>
    <row r="12" spans="1:12" x14ac:dyDescent="0.25">
      <c r="A12">
        <v>1718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1718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1718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1718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1718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1718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1718</v>
      </c>
      <c r="B18" t="s">
        <v>9</v>
      </c>
      <c r="C18" t="s">
        <v>76</v>
      </c>
      <c r="D18" t="s">
        <v>33</v>
      </c>
      <c r="H18">
        <v>32400</v>
      </c>
      <c r="J18">
        <f t="shared" si="0"/>
        <v>32400</v>
      </c>
      <c r="L18">
        <f t="shared" si="1"/>
        <v>14.464285714285714</v>
      </c>
    </row>
    <row r="19" spans="1:12" x14ac:dyDescent="0.25">
      <c r="A19">
        <v>1718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1718</v>
      </c>
      <c r="B20" t="s">
        <v>11</v>
      </c>
      <c r="C20" t="s">
        <v>76</v>
      </c>
      <c r="D20" t="s">
        <v>33</v>
      </c>
      <c r="F20">
        <v>7</v>
      </c>
      <c r="H20">
        <v>7</v>
      </c>
      <c r="J20">
        <f t="shared" si="0"/>
        <v>791</v>
      </c>
      <c r="L20">
        <f t="shared" si="1"/>
        <v>0.35312500000000002</v>
      </c>
    </row>
    <row r="21" spans="1:12" x14ac:dyDescent="0.25">
      <c r="A21">
        <v>1718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1718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1718</v>
      </c>
      <c r="B23" t="s">
        <v>12</v>
      </c>
      <c r="C23" t="s">
        <v>76</v>
      </c>
      <c r="D23" t="s">
        <v>33</v>
      </c>
      <c r="H23">
        <v>30</v>
      </c>
      <c r="J23">
        <f t="shared" si="0"/>
        <v>30</v>
      </c>
      <c r="L23">
        <f t="shared" si="1"/>
        <v>1.3392857142857142E-2</v>
      </c>
    </row>
    <row r="24" spans="1:12" x14ac:dyDescent="0.25">
      <c r="A24">
        <v>1718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1718</v>
      </c>
      <c r="B25" t="s">
        <v>13</v>
      </c>
      <c r="C25" t="s">
        <v>76</v>
      </c>
      <c r="D25" t="s">
        <v>33</v>
      </c>
      <c r="E25">
        <v>27</v>
      </c>
      <c r="F25">
        <v>7</v>
      </c>
      <c r="G25">
        <v>1</v>
      </c>
      <c r="H25">
        <v>6</v>
      </c>
      <c r="J25">
        <f t="shared" si="0"/>
        <v>61298</v>
      </c>
      <c r="L25">
        <f t="shared" si="1"/>
        <v>27.365178571428572</v>
      </c>
    </row>
    <row r="26" spans="1:12" x14ac:dyDescent="0.25">
      <c r="A26">
        <v>1718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1718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1718</v>
      </c>
      <c r="B28" t="s">
        <v>27</v>
      </c>
      <c r="C28" t="s">
        <v>76</v>
      </c>
      <c r="D28" t="s">
        <v>33</v>
      </c>
      <c r="H28">
        <v>1200</v>
      </c>
      <c r="I28" t="s">
        <v>116</v>
      </c>
      <c r="J28">
        <f t="shared" si="0"/>
        <v>1200</v>
      </c>
      <c r="L28">
        <f t="shared" si="1"/>
        <v>0.5357142857142857</v>
      </c>
    </row>
    <row r="29" spans="1:12" x14ac:dyDescent="0.25">
      <c r="A29">
        <v>1718</v>
      </c>
      <c r="B29" t="s">
        <v>15</v>
      </c>
      <c r="C29" t="s">
        <v>76</v>
      </c>
      <c r="D29" t="s">
        <v>33</v>
      </c>
      <c r="F29">
        <v>49</v>
      </c>
      <c r="J29">
        <f t="shared" si="0"/>
        <v>5488</v>
      </c>
      <c r="L29">
        <f t="shared" si="1"/>
        <v>2.4500000000000002</v>
      </c>
    </row>
    <row r="30" spans="1:12" x14ac:dyDescent="0.25">
      <c r="A30">
        <v>1718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1718</v>
      </c>
      <c r="B31" t="s">
        <v>49</v>
      </c>
      <c r="C31" t="s">
        <v>76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1718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1718</v>
      </c>
      <c r="B34" t="s">
        <v>18</v>
      </c>
      <c r="C34" t="s">
        <v>76</v>
      </c>
      <c r="D34" t="s">
        <v>33</v>
      </c>
      <c r="H34">
        <v>1220</v>
      </c>
      <c r="I34" t="s">
        <v>117</v>
      </c>
      <c r="J34">
        <f t="shared" si="0"/>
        <v>1220</v>
      </c>
      <c r="L34">
        <f t="shared" si="1"/>
        <v>0.5446428571428571</v>
      </c>
    </row>
    <row r="35" spans="1:12" x14ac:dyDescent="0.25">
      <c r="A35">
        <v>1718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1718</v>
      </c>
      <c r="B36" t="s">
        <v>19</v>
      </c>
      <c r="C36" t="s">
        <v>76</v>
      </c>
      <c r="D36" t="s">
        <v>33</v>
      </c>
      <c r="F36">
        <v>31</v>
      </c>
      <c r="H36">
        <v>24</v>
      </c>
      <c r="J36">
        <f t="shared" si="0"/>
        <v>3496</v>
      </c>
      <c r="L36">
        <f t="shared" si="1"/>
        <v>1.5607142857142857</v>
      </c>
    </row>
    <row r="37" spans="1:12" x14ac:dyDescent="0.25">
      <c r="A37">
        <v>1718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1718</v>
      </c>
      <c r="B38" t="s">
        <v>56</v>
      </c>
      <c r="C38" t="s">
        <v>76</v>
      </c>
      <c r="D38" t="s">
        <v>33</v>
      </c>
      <c r="H38">
        <v>20</v>
      </c>
      <c r="J38">
        <f t="shared" si="0"/>
        <v>20</v>
      </c>
      <c r="L38">
        <f t="shared" si="1"/>
        <v>8.9285714285714281E-3</v>
      </c>
    </row>
    <row r="39" spans="1:12" x14ac:dyDescent="0.25">
      <c r="A39">
        <v>1718</v>
      </c>
      <c r="B39" t="s">
        <v>102</v>
      </c>
      <c r="C39" t="s">
        <v>76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1718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1718</v>
      </c>
      <c r="B41" t="s">
        <v>21</v>
      </c>
      <c r="C41" t="s">
        <v>76</v>
      </c>
      <c r="D41" t="s">
        <v>33</v>
      </c>
      <c r="H41">
        <v>10</v>
      </c>
      <c r="J41">
        <f t="shared" si="0"/>
        <v>10</v>
      </c>
      <c r="L41">
        <f t="shared" si="1"/>
        <v>4.464285714285714E-3</v>
      </c>
    </row>
    <row r="42" spans="1:12" x14ac:dyDescent="0.25">
      <c r="A42">
        <v>1718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1718</v>
      </c>
      <c r="B43" t="s">
        <v>63</v>
      </c>
      <c r="C43" t="s">
        <v>76</v>
      </c>
      <c r="D43" t="s">
        <v>33</v>
      </c>
      <c r="E43">
        <v>5</v>
      </c>
      <c r="F43">
        <v>4</v>
      </c>
      <c r="G43">
        <v>2</v>
      </c>
      <c r="J43">
        <f t="shared" si="0"/>
        <v>11704</v>
      </c>
      <c r="L43">
        <f t="shared" si="1"/>
        <v>5.2249999999999996</v>
      </c>
    </row>
    <row r="44" spans="1:12" x14ac:dyDescent="0.25">
      <c r="A44">
        <v>1718</v>
      </c>
      <c r="B44" t="s">
        <v>64</v>
      </c>
      <c r="C44" t="s">
        <v>76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1718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1718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1718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1718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1718</v>
      </c>
      <c r="B50" t="s">
        <v>6</v>
      </c>
      <c r="C50" t="s">
        <v>76</v>
      </c>
      <c r="D50" t="s">
        <v>35</v>
      </c>
      <c r="F50">
        <v>7827</v>
      </c>
      <c r="G50">
        <v>1</v>
      </c>
      <c r="H50">
        <v>4</v>
      </c>
      <c r="J50">
        <f t="shared" si="0"/>
        <v>876656</v>
      </c>
      <c r="L50">
        <f t="shared" si="1"/>
        <v>391.3642857142857</v>
      </c>
    </row>
    <row r="51" spans="1:12" x14ac:dyDescent="0.25">
      <c r="A51">
        <v>1718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1718</v>
      </c>
      <c r="B52" t="s">
        <v>8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1718</v>
      </c>
      <c r="B53" t="s">
        <v>9</v>
      </c>
      <c r="C53" t="s">
        <v>76</v>
      </c>
      <c r="D53" t="s">
        <v>35</v>
      </c>
      <c r="H53">
        <v>63071</v>
      </c>
      <c r="J53">
        <f t="shared" si="0"/>
        <v>63071</v>
      </c>
      <c r="L53">
        <f t="shared" si="1"/>
        <v>28.156696428571429</v>
      </c>
    </row>
    <row r="54" spans="1:12" x14ac:dyDescent="0.25">
      <c r="A54">
        <v>1718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1718</v>
      </c>
      <c r="B55" t="s">
        <v>11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1718</v>
      </c>
      <c r="B56" t="s">
        <v>12</v>
      </c>
      <c r="C56" t="s">
        <v>76</v>
      </c>
      <c r="D56" t="s">
        <v>35</v>
      </c>
      <c r="H56">
        <v>246</v>
      </c>
      <c r="J56">
        <f t="shared" si="0"/>
        <v>246</v>
      </c>
      <c r="L56">
        <f t="shared" si="1"/>
        <v>0.10982142857142857</v>
      </c>
    </row>
    <row r="57" spans="1:12" x14ac:dyDescent="0.25">
      <c r="A57">
        <v>1718</v>
      </c>
      <c r="B57" t="s">
        <v>13</v>
      </c>
      <c r="C57" t="s">
        <v>76</v>
      </c>
      <c r="D57" t="s">
        <v>35</v>
      </c>
      <c r="E57">
        <v>9</v>
      </c>
      <c r="J57">
        <f t="shared" si="0"/>
        <v>20160</v>
      </c>
      <c r="L57">
        <f t="shared" si="1"/>
        <v>9</v>
      </c>
    </row>
    <row r="58" spans="1:12" x14ac:dyDescent="0.25">
      <c r="A58">
        <v>1718</v>
      </c>
      <c r="B58" t="s">
        <v>14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1718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1718</v>
      </c>
      <c r="B60" t="s">
        <v>15</v>
      </c>
      <c r="C60" t="s">
        <v>76</v>
      </c>
      <c r="D60" t="s">
        <v>35</v>
      </c>
      <c r="F60">
        <v>42</v>
      </c>
      <c r="H60">
        <v>14</v>
      </c>
      <c r="J60">
        <f t="shared" si="0"/>
        <v>4718</v>
      </c>
      <c r="L60">
        <f t="shared" si="1"/>
        <v>2.1062500000000002</v>
      </c>
    </row>
    <row r="61" spans="1:12" x14ac:dyDescent="0.25">
      <c r="A61">
        <v>1718</v>
      </c>
      <c r="B61" t="s">
        <v>17</v>
      </c>
      <c r="C61" t="s">
        <v>76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1718</v>
      </c>
      <c r="B62" t="s">
        <v>18</v>
      </c>
      <c r="C62" t="s">
        <v>76</v>
      </c>
      <c r="D62" t="s">
        <v>35</v>
      </c>
      <c r="H62">
        <v>322.5</v>
      </c>
      <c r="I62">
        <v>32.25</v>
      </c>
      <c r="J62">
        <f t="shared" si="0"/>
        <v>322.5</v>
      </c>
      <c r="L62">
        <f t="shared" si="1"/>
        <v>0.14397321428571427</v>
      </c>
    </row>
    <row r="63" spans="1:12" x14ac:dyDescent="0.25">
      <c r="A63">
        <v>1718</v>
      </c>
      <c r="B63" t="s">
        <v>19</v>
      </c>
      <c r="C63" t="s">
        <v>76</v>
      </c>
      <c r="D63" t="s">
        <v>35</v>
      </c>
      <c r="F63">
        <v>12</v>
      </c>
      <c r="G63">
        <v>1</v>
      </c>
      <c r="H63">
        <v>14</v>
      </c>
      <c r="J63">
        <f t="shared" si="0"/>
        <v>1386</v>
      </c>
      <c r="L63">
        <f t="shared" si="1"/>
        <v>0.61875000000000002</v>
      </c>
    </row>
    <row r="64" spans="1:12" x14ac:dyDescent="0.25">
      <c r="A64">
        <v>1718</v>
      </c>
      <c r="B64" t="s">
        <v>56</v>
      </c>
      <c r="C64" t="s">
        <v>76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1718</v>
      </c>
      <c r="B65" t="s">
        <v>102</v>
      </c>
      <c r="C65" t="s">
        <v>76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1718</v>
      </c>
      <c r="B66" t="s">
        <v>21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1718</v>
      </c>
      <c r="B67" t="s">
        <v>22</v>
      </c>
      <c r="C67" t="s">
        <v>76</v>
      </c>
      <c r="D67" t="s">
        <v>35</v>
      </c>
      <c r="J67">
        <f t="shared" ref="J67:J68" si="2">(E67*2240)+(F67*112)+(G67*28)+H67</f>
        <v>0</v>
      </c>
      <c r="L67">
        <f t="shared" ref="L67:L68" si="3">J67/2240</f>
        <v>0</v>
      </c>
    </row>
    <row r="68" spans="1:12" x14ac:dyDescent="0.25">
      <c r="A68">
        <v>1718</v>
      </c>
      <c r="B68" t="s">
        <v>64</v>
      </c>
      <c r="C68" t="s">
        <v>76</v>
      </c>
      <c r="D68" t="s">
        <v>35</v>
      </c>
      <c r="J68">
        <f t="shared" si="2"/>
        <v>0</v>
      </c>
      <c r="L68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0"/>
  <sheetViews>
    <sheetView workbookViewId="0">
      <selection activeCell="H37" sqref="H3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1718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1718</v>
      </c>
      <c r="B3" t="s">
        <v>59</v>
      </c>
      <c r="C3" t="s">
        <v>77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1718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1718</v>
      </c>
      <c r="B5" t="s">
        <v>4</v>
      </c>
      <c r="C5" t="s">
        <v>77</v>
      </c>
      <c r="D5" t="s">
        <v>33</v>
      </c>
      <c r="H5">
        <v>400</v>
      </c>
      <c r="J5">
        <f t="shared" si="0"/>
        <v>400</v>
      </c>
      <c r="L5">
        <f t="shared" si="1"/>
        <v>0.17857142857142858</v>
      </c>
    </row>
    <row r="6" spans="1:12" x14ac:dyDescent="0.25">
      <c r="A6">
        <v>1718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1718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1718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1718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1718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1718</v>
      </c>
      <c r="B11" t="s">
        <v>6</v>
      </c>
      <c r="C11" t="s">
        <v>77</v>
      </c>
      <c r="D11" t="s">
        <v>33</v>
      </c>
      <c r="F11">
        <v>32194</v>
      </c>
      <c r="G11">
        <v>2</v>
      </c>
      <c r="H11">
        <v>4</v>
      </c>
      <c r="J11">
        <f t="shared" si="0"/>
        <v>3605788</v>
      </c>
      <c r="L11">
        <f t="shared" si="1"/>
        <v>1609.7267857142858</v>
      </c>
    </row>
    <row r="12" spans="1:12" x14ac:dyDescent="0.25">
      <c r="A12">
        <v>1718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1718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1718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1718</v>
      </c>
      <c r="B15" t="s">
        <v>8</v>
      </c>
      <c r="C15" t="s">
        <v>77</v>
      </c>
      <c r="D15" t="s">
        <v>33</v>
      </c>
      <c r="F15">
        <v>2</v>
      </c>
      <c r="G15">
        <v>2</v>
      </c>
      <c r="H15">
        <v>21</v>
      </c>
      <c r="J15">
        <f t="shared" si="0"/>
        <v>301</v>
      </c>
      <c r="L15">
        <f t="shared" si="1"/>
        <v>0.13437499999999999</v>
      </c>
    </row>
    <row r="16" spans="1:12" x14ac:dyDescent="0.25">
      <c r="A16">
        <v>1718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1718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1718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1718</v>
      </c>
      <c r="B19" t="s">
        <v>9</v>
      </c>
      <c r="C19" t="s">
        <v>77</v>
      </c>
      <c r="D19" t="s">
        <v>33</v>
      </c>
      <c r="H19">
        <v>36400</v>
      </c>
      <c r="J19">
        <f t="shared" si="0"/>
        <v>36400</v>
      </c>
      <c r="L19">
        <f t="shared" si="1"/>
        <v>16.25</v>
      </c>
    </row>
    <row r="20" spans="1:12" x14ac:dyDescent="0.25">
      <c r="A20">
        <v>1718</v>
      </c>
      <c r="B20" t="s">
        <v>10</v>
      </c>
      <c r="C20" t="s">
        <v>77</v>
      </c>
      <c r="D20" t="s">
        <v>33</v>
      </c>
      <c r="F20">
        <v>39</v>
      </c>
      <c r="G20">
        <v>1</v>
      </c>
      <c r="H20">
        <v>7</v>
      </c>
      <c r="J20">
        <f t="shared" si="0"/>
        <v>4403</v>
      </c>
      <c r="L20">
        <f t="shared" si="1"/>
        <v>1.965625</v>
      </c>
    </row>
    <row r="21" spans="1:12" x14ac:dyDescent="0.25">
      <c r="A21">
        <v>1718</v>
      </c>
      <c r="B21" t="s">
        <v>11</v>
      </c>
      <c r="C21" t="s">
        <v>77</v>
      </c>
      <c r="D21" t="s">
        <v>33</v>
      </c>
      <c r="F21">
        <v>20</v>
      </c>
      <c r="H21">
        <v>27</v>
      </c>
      <c r="J21">
        <f t="shared" si="0"/>
        <v>2267</v>
      </c>
      <c r="L21">
        <f t="shared" si="1"/>
        <v>1.0120535714285714</v>
      </c>
    </row>
    <row r="22" spans="1:12" x14ac:dyDescent="0.25">
      <c r="A22">
        <v>1718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1718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1718</v>
      </c>
      <c r="B24" t="s">
        <v>12</v>
      </c>
      <c r="C24" t="s">
        <v>77</v>
      </c>
      <c r="D24" t="s">
        <v>33</v>
      </c>
      <c r="H24">
        <v>802</v>
      </c>
      <c r="J24">
        <f t="shared" si="0"/>
        <v>802</v>
      </c>
      <c r="L24">
        <f t="shared" si="1"/>
        <v>0.35803571428571429</v>
      </c>
    </row>
    <row r="25" spans="1:12" x14ac:dyDescent="0.25">
      <c r="A25">
        <v>1718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1718</v>
      </c>
      <c r="B26" t="s">
        <v>13</v>
      </c>
      <c r="C26" t="s">
        <v>77</v>
      </c>
      <c r="D26" t="s">
        <v>33</v>
      </c>
      <c r="E26">
        <v>7</v>
      </c>
      <c r="G26">
        <v>2</v>
      </c>
      <c r="J26">
        <f t="shared" si="0"/>
        <v>15736</v>
      </c>
      <c r="L26">
        <f t="shared" si="1"/>
        <v>7.0250000000000004</v>
      </c>
    </row>
    <row r="27" spans="1:12" x14ac:dyDescent="0.25">
      <c r="A27">
        <v>1718</v>
      </c>
      <c r="B27" t="s">
        <v>14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1718</v>
      </c>
      <c r="B28" t="s">
        <v>23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1718</v>
      </c>
      <c r="B29" t="s">
        <v>27</v>
      </c>
      <c r="C29" t="s">
        <v>77</v>
      </c>
      <c r="D29" t="s">
        <v>33</v>
      </c>
      <c r="H29">
        <v>3141</v>
      </c>
      <c r="I29" t="s">
        <v>118</v>
      </c>
      <c r="J29">
        <f t="shared" si="0"/>
        <v>3141</v>
      </c>
      <c r="L29">
        <f t="shared" si="1"/>
        <v>1.4022321428571429</v>
      </c>
    </row>
    <row r="30" spans="1:12" x14ac:dyDescent="0.25">
      <c r="A30">
        <v>1718</v>
      </c>
      <c r="B30" t="s">
        <v>15</v>
      </c>
      <c r="C30" t="s">
        <v>77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1718</v>
      </c>
      <c r="B31" t="s">
        <v>44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1718</v>
      </c>
      <c r="B32" t="s">
        <v>49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1718</v>
      </c>
      <c r="B33" t="s">
        <v>16</v>
      </c>
      <c r="C33" t="s">
        <v>77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1718</v>
      </c>
      <c r="B34" t="s">
        <v>100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1718</v>
      </c>
      <c r="B35" t="s">
        <v>17</v>
      </c>
      <c r="C35" t="s">
        <v>77</v>
      </c>
      <c r="D35" t="s">
        <v>33</v>
      </c>
      <c r="F35">
        <v>7</v>
      </c>
      <c r="G35">
        <v>1</v>
      </c>
      <c r="J35">
        <f t="shared" si="0"/>
        <v>812</v>
      </c>
      <c r="L35">
        <f t="shared" si="1"/>
        <v>0.36249999999999999</v>
      </c>
    </row>
    <row r="36" spans="1:12" x14ac:dyDescent="0.25">
      <c r="A36">
        <v>1718</v>
      </c>
      <c r="B36" t="s">
        <v>18</v>
      </c>
      <c r="C36" t="s">
        <v>77</v>
      </c>
      <c r="D36" t="s">
        <v>33</v>
      </c>
      <c r="H36">
        <v>4276</v>
      </c>
      <c r="I36" t="s">
        <v>119</v>
      </c>
      <c r="J36">
        <f t="shared" si="0"/>
        <v>4276</v>
      </c>
      <c r="L36">
        <f t="shared" si="1"/>
        <v>1.9089285714285715</v>
      </c>
    </row>
    <row r="37" spans="1:12" x14ac:dyDescent="0.25">
      <c r="A37">
        <v>1718</v>
      </c>
      <c r="B37" t="s">
        <v>72</v>
      </c>
      <c r="C37" t="s">
        <v>77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1718</v>
      </c>
      <c r="B38" t="s">
        <v>19</v>
      </c>
      <c r="C38" t="s">
        <v>77</v>
      </c>
      <c r="D38" t="s">
        <v>33</v>
      </c>
      <c r="F38">
        <v>13</v>
      </c>
      <c r="G38">
        <v>2</v>
      </c>
      <c r="H38">
        <v>26</v>
      </c>
      <c r="J38">
        <f t="shared" si="0"/>
        <v>1538</v>
      </c>
      <c r="L38">
        <f t="shared" si="1"/>
        <v>0.68660714285714286</v>
      </c>
    </row>
    <row r="39" spans="1:12" x14ac:dyDescent="0.25">
      <c r="A39">
        <v>1718</v>
      </c>
      <c r="B39" t="s">
        <v>47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1718</v>
      </c>
      <c r="B40" t="s">
        <v>56</v>
      </c>
      <c r="C40" t="s">
        <v>77</v>
      </c>
      <c r="D40" t="s">
        <v>33</v>
      </c>
      <c r="H40">
        <v>99</v>
      </c>
      <c r="J40">
        <f t="shared" si="0"/>
        <v>99</v>
      </c>
      <c r="L40">
        <f t="shared" si="1"/>
        <v>4.4196428571428574E-2</v>
      </c>
    </row>
    <row r="41" spans="1:12" x14ac:dyDescent="0.25">
      <c r="A41">
        <v>1718</v>
      </c>
      <c r="B41" t="s">
        <v>102</v>
      </c>
      <c r="C41" t="s">
        <v>77</v>
      </c>
      <c r="D41" t="s">
        <v>33</v>
      </c>
      <c r="H41">
        <v>30</v>
      </c>
      <c r="J41">
        <f t="shared" si="0"/>
        <v>30</v>
      </c>
      <c r="L41">
        <f t="shared" si="1"/>
        <v>1.3392857142857142E-2</v>
      </c>
    </row>
    <row r="42" spans="1:12" x14ac:dyDescent="0.25">
      <c r="A42">
        <v>1718</v>
      </c>
      <c r="B42" t="s">
        <v>20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1718</v>
      </c>
      <c r="B43" t="s">
        <v>21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1718</v>
      </c>
      <c r="B44" t="s">
        <v>22</v>
      </c>
      <c r="C44" t="s">
        <v>77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1718</v>
      </c>
      <c r="B45" t="s">
        <v>63</v>
      </c>
      <c r="C45" t="s">
        <v>77</v>
      </c>
      <c r="D45" t="s">
        <v>33</v>
      </c>
      <c r="F45">
        <v>46</v>
      </c>
      <c r="G45">
        <v>1</v>
      </c>
      <c r="H45">
        <v>6</v>
      </c>
      <c r="J45">
        <f t="shared" si="0"/>
        <v>5186</v>
      </c>
      <c r="L45">
        <f t="shared" si="1"/>
        <v>2.3151785714285715</v>
      </c>
    </row>
    <row r="46" spans="1:12" x14ac:dyDescent="0.25">
      <c r="A46">
        <v>1718</v>
      </c>
      <c r="B46" t="s">
        <v>64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1718</v>
      </c>
      <c r="B47" t="s">
        <v>65</v>
      </c>
      <c r="C47" t="s">
        <v>77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1718</v>
      </c>
      <c r="B48" t="s">
        <v>73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1718</v>
      </c>
      <c r="B49" t="s">
        <v>66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1718</v>
      </c>
      <c r="B50" t="s">
        <v>67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1718</v>
      </c>
      <c r="B51" t="s">
        <v>6</v>
      </c>
      <c r="C51" t="s">
        <v>77</v>
      </c>
      <c r="D51" t="s">
        <v>35</v>
      </c>
      <c r="F51">
        <v>10889</v>
      </c>
      <c r="H51">
        <v>13</v>
      </c>
      <c r="J51">
        <f t="shared" si="0"/>
        <v>1219581</v>
      </c>
      <c r="L51">
        <f t="shared" si="1"/>
        <v>544.45580357142853</v>
      </c>
    </row>
    <row r="52" spans="1:12" x14ac:dyDescent="0.25">
      <c r="A52">
        <v>1718</v>
      </c>
      <c r="B52" t="s">
        <v>7</v>
      </c>
      <c r="C52" t="s">
        <v>77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1718</v>
      </c>
      <c r="B53" t="s">
        <v>8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1718</v>
      </c>
      <c r="B54" t="s">
        <v>9</v>
      </c>
      <c r="C54" t="s">
        <v>77</v>
      </c>
      <c r="D54" t="s">
        <v>35</v>
      </c>
      <c r="H54">
        <v>36460</v>
      </c>
      <c r="J54">
        <f t="shared" si="0"/>
        <v>36460</v>
      </c>
      <c r="L54">
        <f t="shared" si="1"/>
        <v>16.276785714285715</v>
      </c>
    </row>
    <row r="55" spans="1:12" x14ac:dyDescent="0.25">
      <c r="A55">
        <v>1718</v>
      </c>
      <c r="B55" t="s">
        <v>10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1718</v>
      </c>
      <c r="B56" t="s">
        <v>11</v>
      </c>
      <c r="C56" t="s">
        <v>77</v>
      </c>
      <c r="D56" t="s">
        <v>35</v>
      </c>
      <c r="F56">
        <v>3</v>
      </c>
      <c r="H56">
        <v>16</v>
      </c>
      <c r="J56">
        <f t="shared" si="0"/>
        <v>352</v>
      </c>
      <c r="L56">
        <f t="shared" si="1"/>
        <v>0.15714285714285714</v>
      </c>
    </row>
    <row r="57" spans="1:12" x14ac:dyDescent="0.25">
      <c r="A57">
        <v>1718</v>
      </c>
      <c r="B57" t="s">
        <v>12</v>
      </c>
      <c r="C57" t="s">
        <v>77</v>
      </c>
      <c r="D57" t="s">
        <v>35</v>
      </c>
      <c r="H57">
        <v>718</v>
      </c>
      <c r="J57">
        <f t="shared" si="0"/>
        <v>718</v>
      </c>
      <c r="L57">
        <f t="shared" si="1"/>
        <v>0.32053571428571431</v>
      </c>
    </row>
    <row r="58" spans="1:12" x14ac:dyDescent="0.25">
      <c r="A58">
        <v>1718</v>
      </c>
      <c r="B58" t="s">
        <v>13</v>
      </c>
      <c r="C58" t="s">
        <v>77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1718</v>
      </c>
      <c r="B59" t="s">
        <v>14</v>
      </c>
      <c r="C59" t="s">
        <v>77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1718</v>
      </c>
      <c r="B60" t="s">
        <v>27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1718</v>
      </c>
      <c r="B61" t="s">
        <v>15</v>
      </c>
      <c r="C61" t="s">
        <v>77</v>
      </c>
      <c r="D61" t="s">
        <v>35</v>
      </c>
      <c r="F61">
        <v>45</v>
      </c>
      <c r="G61">
        <v>2</v>
      </c>
      <c r="H61">
        <v>13</v>
      </c>
      <c r="J61">
        <f t="shared" si="0"/>
        <v>5109</v>
      </c>
      <c r="L61">
        <f t="shared" si="1"/>
        <v>2.2808035714285713</v>
      </c>
    </row>
    <row r="62" spans="1:12" x14ac:dyDescent="0.25">
      <c r="A62">
        <v>1718</v>
      </c>
      <c r="B62" t="s">
        <v>17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1718</v>
      </c>
      <c r="B63" t="s">
        <v>18</v>
      </c>
      <c r="C63" t="s">
        <v>77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1718</v>
      </c>
      <c r="B64" t="s">
        <v>19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1718</v>
      </c>
      <c r="B65" t="s">
        <v>56</v>
      </c>
      <c r="C65" t="s">
        <v>77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1718</v>
      </c>
      <c r="B66" t="s">
        <v>20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1718</v>
      </c>
      <c r="B67" t="s">
        <v>21</v>
      </c>
      <c r="C67" t="s">
        <v>77</v>
      </c>
      <c r="D67" t="s">
        <v>35</v>
      </c>
      <c r="J67">
        <f t="shared" ref="J67:J70" si="2">(E67*2240)+(F67*112)+(G67*28)+H67</f>
        <v>0</v>
      </c>
      <c r="L67">
        <f t="shared" ref="L67:L70" si="3">J67/2240</f>
        <v>0</v>
      </c>
    </row>
    <row r="68" spans="1:12" x14ac:dyDescent="0.25">
      <c r="A68">
        <v>1718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1718</v>
      </c>
      <c r="B69" t="s">
        <v>64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1718</v>
      </c>
      <c r="B70" t="s">
        <v>66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2025-04-23T03:06:12Z</dcterms:modified>
</cp:coreProperties>
</file>